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KTV\Downloads\"/>
    </mc:Choice>
  </mc:AlternateContent>
  <xr:revisionPtr revIDLastSave="0" documentId="8_{8FC117DD-B572-4159-BCB4-5405C8E2E671}" xr6:coauthVersionLast="47" xr6:coauthVersionMax="47" xr10:uidLastSave="{00000000-0000-0000-0000-000000000000}"/>
  <bookViews>
    <workbookView xWindow="-108" yWindow="-108" windowWidth="23256" windowHeight="13176" xr2:uid="{037A9705-0432-4E72-A8B9-737296B44225}"/>
  </bookViews>
  <sheets>
    <sheet name="Test Report" sheetId="1" r:id="rId1"/>
  </sheets>
  <externalReferences>
    <externalReference r:id="rId2"/>
  </externalReferences>
  <definedNames>
    <definedName name="ACTION">#REF!</definedName>
    <definedName name="LOCAL_DATE_SEPARATOR">#REF!</definedName>
    <definedName name="LOCAL_DAY_FORMAT">#REF!</definedName>
    <definedName name="LOCAL_HOUR_FORMAT">#REF!</definedName>
    <definedName name="LOCAL_MINUTE_FORMAT">#REF!</definedName>
    <definedName name="LOCAL_MONTH_FORMAT">#REF!</definedName>
    <definedName name="LOCAL_SECOND_FORMAT">#REF!</definedName>
    <definedName name="LOCAL_TIME_SEPARATOR">#REF!</definedName>
    <definedName name="LOCAL_YEAR_FORMA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 s="1"/>
  <c r="C11" i="1"/>
  <c r="D11" i="1"/>
  <c r="E11" i="1"/>
  <c r="F11" i="1"/>
  <c r="G11" i="1"/>
  <c r="H11" i="1"/>
  <c r="I11" i="1"/>
  <c r="D15" i="1"/>
  <c r="E17" i="1" s="1"/>
  <c r="E15" i="1"/>
  <c r="F15" i="1"/>
  <c r="G15" i="1"/>
  <c r="H15" i="1"/>
  <c r="I15" i="1"/>
  <c r="E18" i="1" l="1"/>
</calcChain>
</file>

<file path=xl/sharedStrings.xml><?xml version="1.0" encoding="utf-8"?>
<sst xmlns="http://schemas.openxmlformats.org/spreadsheetml/2006/main" count="24" uniqueCount="23">
  <si>
    <t>%</t>
  </si>
  <si>
    <t>Test successful coverage</t>
  </si>
  <si>
    <t>Test coverage</t>
  </si>
  <si>
    <t>Sub total</t>
  </si>
  <si>
    <t>Number of  test cases</t>
  </si>
  <si>
    <t>Skipped</t>
  </si>
  <si>
    <t>Blocked</t>
  </si>
  <si>
    <t>Untested</t>
  </si>
  <si>
    <t>Fail</t>
  </si>
  <si>
    <t>Pass</t>
  </si>
  <si>
    <t>Module code</t>
  </si>
  <si>
    <t>No</t>
  </si>
  <si>
    <t>Release 1 includes 2 modules: Module1 and Module2</t>
  </si>
  <si>
    <t>Notes</t>
  </si>
  <si>
    <t>Issue Date</t>
  </si>
  <si>
    <t>Document Code</t>
  </si>
  <si>
    <t>Đỗ Việt Cường</t>
  </si>
  <si>
    <t>Reviewer/Approver</t>
  </si>
  <si>
    <t>Project Code</t>
  </si>
  <si>
    <t>Lâm Trạch Đông</t>
  </si>
  <si>
    <t>Creator</t>
  </si>
  <si>
    <t>Project Name</t>
  </si>
  <si>
    <t>TEST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</si>
</sst>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"/>
  </numFmts>
  <fonts count="12" x14ac:knownFonts="1">
    <font>
      <sz val="11"/>
      <color rgb="FF000000"/>
      <name val="Aptos Narrow"/>
      <scheme val="minor"/>
    </font>
    <font>
      <sz val="10"/>
      <color theme="1"/>
      <name val="Tahoma"/>
    </font>
    <font>
      <sz val="10"/>
      <color rgb="FF000000"/>
      <name val="Tahoma"/>
    </font>
    <font>
      <b/>
      <sz val="10"/>
      <color rgb="FF0000FF"/>
      <name val="Tahoma"/>
    </font>
    <font>
      <b/>
      <sz val="10"/>
      <color rgb="FF993300"/>
      <name val="Tahoma"/>
      <family val="2"/>
    </font>
    <font>
      <sz val="10"/>
      <color rgb="FFFFFFFF"/>
      <name val="Tahoma"/>
    </font>
    <font>
      <b/>
      <sz val="10"/>
      <color rgb="FFFFFFFF"/>
      <name val="Tahoma"/>
    </font>
    <font>
      <i/>
      <sz val="10"/>
      <color rgb="FF008000"/>
      <name val="Tahoma"/>
    </font>
    <font>
      <b/>
      <sz val="10"/>
      <color rgb="FF993300"/>
      <name val="Tahoma"/>
    </font>
    <font>
      <b/>
      <sz val="10"/>
      <color theme="1"/>
      <name val="Tahoma"/>
    </font>
    <font>
      <sz val="11"/>
      <name val="Calibri"/>
    </font>
    <font>
      <b/>
      <sz val="20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</fills>
  <borders count="17">
    <border>
      <left/>
      <right/>
      <top/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 wrapText="1"/>
    </xf>
    <xf numFmtId="2" fontId="3" fillId="2" borderId="0" xfId="0" applyNumberFormat="1" applyFont="1" applyFill="1" applyAlignment="1">
      <alignment horizontal="right" wrapText="1"/>
    </xf>
    <xf numFmtId="0" fontId="4" fillId="2" borderId="0" xfId="0" applyFont="1" applyFill="1" applyAlignment="1">
      <alignment horizontal="left"/>
    </xf>
    <xf numFmtId="9" fontId="1" fillId="2" borderId="0" xfId="0" applyNumberFormat="1" applyFont="1" applyFill="1" applyAlignment="1">
      <alignment horizontal="center"/>
    </xf>
    <xf numFmtId="10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6" fillId="3" borderId="2" xfId="0" applyFont="1" applyFill="1" applyBorder="1"/>
    <xf numFmtId="0" fontId="5" fillId="3" borderId="3" xfId="0" applyFont="1" applyFill="1" applyBorder="1" applyAlignment="1">
      <alignment horizontal="center"/>
    </xf>
    <xf numFmtId="0" fontId="1" fillId="2" borderId="4" xfId="0" applyFont="1" applyFill="1" applyBorder="1"/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7" xfId="0" applyFont="1" applyFill="1" applyBorder="1"/>
    <xf numFmtId="0" fontId="1" fillId="2" borderId="8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 wrapText="1"/>
    </xf>
    <xf numFmtId="0" fontId="6" fillId="3" borderId="10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 wrapText="1"/>
    </xf>
    <xf numFmtId="0" fontId="6" fillId="3" borderId="12" xfId="0" applyFont="1" applyFill="1" applyBorder="1" applyAlignment="1">
      <alignment horizontal="center"/>
    </xf>
    <xf numFmtId="164" fontId="1" fillId="2" borderId="0" xfId="0" applyNumberFormat="1" applyFont="1" applyFill="1"/>
    <xf numFmtId="0" fontId="7" fillId="2" borderId="0" xfId="0" applyFont="1" applyFill="1"/>
    <xf numFmtId="0" fontId="8" fillId="2" borderId="0" xfId="0" applyFont="1" applyFill="1"/>
    <xf numFmtId="0" fontId="9" fillId="2" borderId="0" xfId="0" applyFont="1" applyFill="1"/>
    <xf numFmtId="0" fontId="10" fillId="0" borderId="13" xfId="0" applyFont="1" applyBorder="1"/>
    <xf numFmtId="0" fontId="10" fillId="0" borderId="14" xfId="0" applyFont="1" applyBorder="1"/>
    <xf numFmtId="0" fontId="7" fillId="2" borderId="15" xfId="0" applyFont="1" applyFill="1" applyBorder="1" applyAlignment="1">
      <alignment vertical="top" wrapText="1"/>
    </xf>
    <xf numFmtId="0" fontId="8" fillId="2" borderId="16" xfId="0" applyFont="1" applyFill="1" applyBorder="1" applyAlignment="1">
      <alignment vertical="center"/>
    </xf>
    <xf numFmtId="0" fontId="7" fillId="2" borderId="13" xfId="0" applyFont="1" applyFill="1" applyBorder="1" applyAlignment="1">
      <alignment vertical="top"/>
    </xf>
    <xf numFmtId="14" fontId="8" fillId="2" borderId="13" xfId="0" applyNumberFormat="1" applyFont="1" applyFill="1" applyBorder="1" applyAlignment="1">
      <alignment horizontal="left"/>
    </xf>
    <xf numFmtId="0" fontId="8" fillId="2" borderId="15" xfId="0" applyFont="1" applyFill="1" applyBorder="1" applyAlignment="1">
      <alignment horizontal="left"/>
    </xf>
    <xf numFmtId="0" fontId="7" fillId="2" borderId="15" xfId="0" applyFont="1" applyFill="1" applyBorder="1" applyAlignment="1">
      <alignment horizontal="left"/>
    </xf>
    <xf numFmtId="0" fontId="1" fillId="2" borderId="13" xfId="0" applyFont="1" applyFill="1" applyBorder="1" applyAlignment="1">
      <alignment vertical="top"/>
    </xf>
    <xf numFmtId="0" fontId="4" fillId="2" borderId="13" xfId="0" applyFont="1" applyFill="1" applyBorder="1" applyAlignment="1">
      <alignment horizontal="left"/>
    </xf>
    <xf numFmtId="0" fontId="8" fillId="2" borderId="16" xfId="0" applyFont="1" applyFill="1" applyBorder="1" applyAlignment="1">
      <alignment horizontal="left" vertical="center"/>
    </xf>
    <xf numFmtId="0" fontId="10" fillId="0" borderId="0" xfId="0" applyFont="1"/>
    <xf numFmtId="0" fontId="1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For%20NLU\Final\tester2\21130317_TestDesign.xlsx" TargetMode="External"/><Relationship Id="rId1" Type="http://schemas.openxmlformats.org/officeDocument/2006/relationships/externalLinkPath" Target="file:///D:\For%20NLU\Final\tester2\21130317_TestDesig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Test case List"/>
      <sheetName val="TestDesign"/>
      <sheetName val="Search"/>
      <sheetName val="Test Evidence"/>
    </sheetNames>
    <sheetDataSet>
      <sheetData sheetId="0">
        <row r="4">
          <cell r="C4" t="str">
            <v>Thegioididong.com</v>
          </cell>
        </row>
        <row r="5">
          <cell r="C5" t="str">
            <v>TGDD</v>
          </cell>
        </row>
      </sheetData>
      <sheetData sheetId="1"/>
      <sheetData sheetId="2"/>
      <sheetData sheetId="3">
        <row r="2">
          <cell r="B2" t="str">
            <v>PRD_Search</v>
          </cell>
        </row>
        <row r="6">
          <cell r="A6">
            <v>41</v>
          </cell>
          <cell r="B6">
            <v>10</v>
          </cell>
          <cell r="C6">
            <v>0</v>
          </cell>
          <cell r="D6">
            <v>0</v>
          </cell>
          <cell r="E6">
            <v>0</v>
          </cell>
          <cell r="F6">
            <v>51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5A8D8-E2C3-485B-B4CD-4916243E6E9B}">
  <dimension ref="A1:Z1000"/>
  <sheetViews>
    <sheetView tabSelected="1" workbookViewId="0">
      <selection activeCell="E18" sqref="E18"/>
    </sheetView>
  </sheetViews>
  <sheetFormatPr defaultColWidth="14.44140625" defaultRowHeight="15" customHeight="1" x14ac:dyDescent="0.3"/>
  <cols>
    <col min="1" max="1" width="10.33203125" customWidth="1"/>
    <col min="2" max="2" width="15.44140625" customWidth="1"/>
    <col min="3" max="3" width="22.109375" customWidth="1"/>
    <col min="4" max="6" width="10.33203125" customWidth="1"/>
    <col min="7" max="7" width="16.44140625" customWidth="1"/>
    <col min="8" max="8" width="11.5546875" customWidth="1"/>
    <col min="9" max="9" width="30.109375" customWidth="1"/>
    <col min="10" max="26" width="11.44140625" customWidth="1"/>
  </cols>
  <sheetData>
    <row r="1" spans="1:26" ht="25.5" customHeight="1" x14ac:dyDescent="0.4">
      <c r="A1" s="1"/>
      <c r="B1" s="39" t="s">
        <v>22</v>
      </c>
      <c r="C1" s="38"/>
      <c r="D1" s="38"/>
      <c r="E1" s="38"/>
      <c r="F1" s="38"/>
      <c r="G1" s="38"/>
      <c r="H1" s="38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">
      <c r="A2" s="26"/>
      <c r="B2" s="26"/>
      <c r="C2" s="1"/>
      <c r="D2" s="1"/>
      <c r="E2" s="1"/>
      <c r="F2" s="1"/>
      <c r="G2" s="1"/>
      <c r="H2" s="2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" customHeight="1" x14ac:dyDescent="0.3">
      <c r="A3" s="1"/>
      <c r="B3" s="37" t="s">
        <v>21</v>
      </c>
      <c r="C3" s="34" t="str">
        <f>[1]Cover!C4</f>
        <v>Thegioididong.com</v>
      </c>
      <c r="D3" s="27"/>
      <c r="E3" s="33" t="s">
        <v>20</v>
      </c>
      <c r="F3" s="27"/>
      <c r="G3" s="36" t="s">
        <v>19</v>
      </c>
      <c r="H3" s="35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" customHeight="1" x14ac:dyDescent="0.3">
      <c r="A4" s="1"/>
      <c r="B4" s="37" t="s">
        <v>18</v>
      </c>
      <c r="C4" s="34" t="str">
        <f>[1]Cover!C5</f>
        <v>TGDD</v>
      </c>
      <c r="D4" s="27"/>
      <c r="E4" s="33" t="s">
        <v>17</v>
      </c>
      <c r="F4" s="27"/>
      <c r="G4" s="36" t="s">
        <v>16</v>
      </c>
      <c r="H4" s="35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" customHeight="1" x14ac:dyDescent="0.3">
      <c r="A5" s="1"/>
      <c r="B5" s="30" t="s">
        <v>15</v>
      </c>
      <c r="C5" s="34" t="str">
        <f>C4&amp;"_"&amp;"Test Report"&amp;"_"&amp;"v1.0"</f>
        <v>TGDD_Test Report_v1.0</v>
      </c>
      <c r="D5" s="27"/>
      <c r="E5" s="33" t="s">
        <v>14</v>
      </c>
      <c r="F5" s="27"/>
      <c r="G5" s="32">
        <v>45591</v>
      </c>
      <c r="H5" s="3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1.75" customHeight="1" x14ac:dyDescent="0.3">
      <c r="A6" s="26"/>
      <c r="B6" s="30" t="s">
        <v>13</v>
      </c>
      <c r="C6" s="29" t="s">
        <v>12</v>
      </c>
      <c r="D6" s="28"/>
      <c r="E6" s="28"/>
      <c r="F6" s="28"/>
      <c r="G6" s="28"/>
      <c r="H6" s="2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3">
      <c r="A7" s="26"/>
      <c r="B7" s="25"/>
      <c r="C7" s="24"/>
      <c r="D7" s="1"/>
      <c r="E7" s="1"/>
      <c r="F7" s="1"/>
      <c r="G7" s="1"/>
      <c r="H7" s="23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3">
      <c r="A8" s="1"/>
      <c r="B8" s="25"/>
      <c r="C8" s="24"/>
      <c r="D8" s="1"/>
      <c r="E8" s="1"/>
      <c r="F8" s="1"/>
      <c r="G8" s="1"/>
      <c r="H8" s="23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 x14ac:dyDescent="0.3">
      <c r="A10" s="12"/>
      <c r="B10" s="22" t="s">
        <v>11</v>
      </c>
      <c r="C10" s="20" t="s">
        <v>10</v>
      </c>
      <c r="D10" s="21" t="s">
        <v>9</v>
      </c>
      <c r="E10" s="20" t="s">
        <v>8</v>
      </c>
      <c r="F10" s="20" t="s">
        <v>7</v>
      </c>
      <c r="G10" s="19" t="s">
        <v>6</v>
      </c>
      <c r="H10" s="18" t="s">
        <v>5</v>
      </c>
      <c r="I10" s="18" t="s">
        <v>4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3">
      <c r="A11" s="12"/>
      <c r="B11" s="17">
        <v>1</v>
      </c>
      <c r="C11" s="16" t="str">
        <f>[1]Search!B2</f>
        <v>PRD_Search</v>
      </c>
      <c r="D11" s="15">
        <f>[1]Search!A6</f>
        <v>41</v>
      </c>
      <c r="E11" s="15">
        <f>[1]Search!B6</f>
        <v>10</v>
      </c>
      <c r="F11" s="15">
        <f>[1]Search!C6</f>
        <v>0</v>
      </c>
      <c r="G11" s="14">
        <f>[1]Search!D6</f>
        <v>0</v>
      </c>
      <c r="H11" s="14">
        <f>[1]Search!E6</f>
        <v>0</v>
      </c>
      <c r="I11" s="13">
        <f>[1]Search!F6</f>
        <v>51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3">
      <c r="A12" s="12"/>
      <c r="B12" s="17"/>
      <c r="C12" s="16"/>
      <c r="D12" s="15"/>
      <c r="E12" s="15"/>
      <c r="F12" s="15"/>
      <c r="G12" s="14"/>
      <c r="H12" s="14"/>
      <c r="I12" s="13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 x14ac:dyDescent="0.3">
      <c r="A13" s="12"/>
      <c r="B13" s="17"/>
      <c r="C13" s="16"/>
      <c r="D13" s="15"/>
      <c r="E13" s="15"/>
      <c r="F13" s="15"/>
      <c r="G13" s="15"/>
      <c r="H13" s="15"/>
      <c r="I13" s="13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x14ac:dyDescent="0.3">
      <c r="A14" s="12"/>
      <c r="B14" s="17"/>
      <c r="C14" s="16"/>
      <c r="D14" s="15"/>
      <c r="E14" s="15"/>
      <c r="F14" s="15"/>
      <c r="G14" s="14"/>
      <c r="H14" s="14"/>
      <c r="I14" s="13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3">
      <c r="A15" s="12"/>
      <c r="B15" s="11"/>
      <c r="C15" s="10" t="s">
        <v>3</v>
      </c>
      <c r="D15" s="9">
        <f>SUM(D9:D14)</f>
        <v>41</v>
      </c>
      <c r="E15" s="9">
        <f>SUM(E9:E14)</f>
        <v>10</v>
      </c>
      <c r="F15" s="9">
        <f>SUM(F9:F14)</f>
        <v>0</v>
      </c>
      <c r="G15" s="9">
        <f>SUM(G9:G14)</f>
        <v>0</v>
      </c>
      <c r="H15" s="8">
        <f>SUM(H9:H14)</f>
        <v>0</v>
      </c>
      <c r="I15" s="8">
        <f>SUM(I9:I14)</f>
        <v>51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3">
      <c r="A16" s="1"/>
      <c r="B16" s="7"/>
      <c r="C16" s="1"/>
      <c r="D16" s="6"/>
      <c r="E16" s="5"/>
      <c r="F16" s="5"/>
      <c r="G16" s="5"/>
      <c r="H16" s="5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3">
      <c r="A17" s="1"/>
      <c r="B17" s="1"/>
      <c r="C17" s="4" t="s">
        <v>2</v>
      </c>
      <c r="D17" s="1"/>
      <c r="E17" s="3">
        <f>(D15+E15)*100/(I15-H15-G15)</f>
        <v>100</v>
      </c>
      <c r="F17" s="1" t="s">
        <v>0</v>
      </c>
      <c r="G17" s="1"/>
      <c r="H17" s="2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3">
      <c r="A18" s="1"/>
      <c r="B18" s="1"/>
      <c r="C18" s="4" t="s">
        <v>1</v>
      </c>
      <c r="D18" s="1"/>
      <c r="E18" s="3">
        <f>D15*100/(D15+E15)</f>
        <v>80.392156862745097</v>
      </c>
      <c r="F18" s="1" t="s">
        <v>0</v>
      </c>
      <c r="G18" s="1"/>
      <c r="H18" s="2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ageMargins left="0.7" right="0.7" top="0.75" bottom="0.75" header="0" footer="0"/>
  <pageSetup orientation="landscape"/>
  <headerFooter>
    <oddFooter>&amp;L 02ae-BM/PM/HDCV/FSOFT v2/0&amp;CInternal use&amp;R&amp;P/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Seagame SG</dc:creator>
  <cp:lastModifiedBy>Seagame SG</cp:lastModifiedBy>
  <dcterms:created xsi:type="dcterms:W3CDTF">2025-01-19T11:41:23Z</dcterms:created>
  <dcterms:modified xsi:type="dcterms:W3CDTF">2025-01-19T11:42:04Z</dcterms:modified>
</cp:coreProperties>
</file>