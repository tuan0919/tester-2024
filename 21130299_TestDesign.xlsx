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F9D72FE6-1812-459B-96B3-07B2FF795C0C}"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Test case List" sheetId="2" r:id="rId2"/>
    <sheet name="TestDesign" sheetId="3" r:id="rId3"/>
    <sheet name="CompareProduct" sheetId="9" r:id="rId4"/>
    <sheet name="Test Report" sheetId="8" r:id="rId5"/>
  </sheets>
  <definedNames>
    <definedName name="_xlnm._FilterDatabase" localSheetId="2" hidden="1">TestDesign!$A$1:$F$78</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C3" i="8" l="1"/>
  <c r="I11" i="8"/>
  <c r="H11" i="8"/>
  <c r="G11" i="8"/>
  <c r="G15" i="8" s="1"/>
  <c r="F11" i="8"/>
  <c r="E11" i="8"/>
  <c r="D11" i="8"/>
  <c r="C11" i="8"/>
  <c r="A20" i="9"/>
  <c r="A43" i="9"/>
  <c r="A36" i="9"/>
  <c r="A13" i="9"/>
  <c r="A52" i="9"/>
  <c r="A53" i="9"/>
  <c r="A21" i="9"/>
  <c r="A22" i="9"/>
  <c r="A51" i="9"/>
  <c r="A50" i="9"/>
  <c r="D6" i="9"/>
  <c r="B6" i="9"/>
  <c r="A6" i="9"/>
  <c r="A38" i="9"/>
  <c r="A39" i="9"/>
  <c r="A46" i="9"/>
  <c r="A47" i="9"/>
  <c r="A48" i="9"/>
  <c r="A49" i="9"/>
  <c r="A37" i="9"/>
  <c r="A34" i="9"/>
  <c r="A35" i="9"/>
  <c r="C6" i="1"/>
  <c r="A41" i="9"/>
  <c r="A42" i="9"/>
  <c r="A44" i="9"/>
  <c r="A45" i="9"/>
  <c r="A40" i="9"/>
  <c r="A10" i="9"/>
  <c r="A25" i="9"/>
  <c r="A24" i="9"/>
  <c r="A27" i="9"/>
  <c r="A28" i="9"/>
  <c r="A29" i="9"/>
  <c r="A30" i="9"/>
  <c r="A31" i="9"/>
  <c r="A32" i="9"/>
  <c r="A33" i="9"/>
  <c r="A9" i="9"/>
  <c r="A11" i="9"/>
  <c r="A12" i="9"/>
  <c r="A14" i="9"/>
  <c r="A15" i="9"/>
  <c r="A16" i="9"/>
  <c r="A17" i="9"/>
  <c r="A18" i="9"/>
  <c r="A19" i="9"/>
  <c r="A23" i="9"/>
  <c r="A26" i="9"/>
  <c r="E6" i="9"/>
  <c r="D3" i="2"/>
  <c r="C4" i="8"/>
  <c r="C5" i="8" s="1"/>
  <c r="D4" i="2"/>
  <c r="F6" i="9" l="1"/>
  <c r="C6" i="9" s="1"/>
  <c r="F15" i="8"/>
  <c r="I15" i="8"/>
  <c r="H15" i="8"/>
  <c r="D15" i="8"/>
  <c r="E15" i="8"/>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sharedStrings.xml><?xml version="1.0" encoding="utf-8"?>
<sst xmlns="http://schemas.openxmlformats.org/spreadsheetml/2006/main" count="436" uniqueCount="293">
  <si>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</si>
  <si>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</si>
  <si>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</si>
  <si>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</si>
  <si>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</si>
  <si>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</si>
  <si>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</si>
  <si>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</si>
  <si>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</si>
  <si>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</si>
  <si>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</si>
  <si>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</si>
  <si>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</si>
  <si>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</si>
  <si>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</si>
  <si>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</si>
  <si>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</si>
  <si>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</si>
  <si>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</si>
  <si>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</si>
  <si>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</si>
  <si>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</si>
  <si>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</si>
  <si>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</si>
  <si>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</si>
  <si>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</si>
  <si>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</si>
  <si>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</si>
  <si>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</si>
  <si>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</si>
  <si>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</si>
  <si>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</si>
  <si>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</si>
  <si>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</si>
  <si>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</si>
  <si>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</si>
  <si>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</si>
  <si>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</si>
  <si>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</si>
  <si>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</si>
  <si>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</si>
  <si>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</si>
  <si>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</si>
  <si>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</si>
  <si>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</si>
  <si>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</si>
  <si>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</si>
  <si>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</si>
  <si>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</si>
  <si>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</si>
  <si>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</si>
  <si>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</si>
  <si>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</si>
  <si>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Module code</t>
  </si>
  <si>
    <t>Pass</t>
  </si>
  <si>
    <t>Fail</t>
  </si>
  <si>
    <t>Number of  test cases</t>
  </si>
  <si>
    <t>Sub total</t>
  </si>
  <si>
    <t>Test coverage</t>
  </si>
  <si>
    <t>%</t>
  </si>
  <si>
    <t>Test successful coverage</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</si>
  <si>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</si>
  <si>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</si>
  <si>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</si>
  <si>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</si>
  <si>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</si>
  <si>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</si>
  <si>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</si>
  <si>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</si>
  <si>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</si>
  <si>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</si>
  <si>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</si>
  <si>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</si>
  <si>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</si>
  <si>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</si>
  <si>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</si>
  <si>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</si>
  <si>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</si>
  <si>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</si>
  <si>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</si>
  <si>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</si>
  <si>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</si>
  <si>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</si>
  <si>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</si>
  <si>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</si>
  <si>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</si>
  <si>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</si>
  <si>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</si>
  <si>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</si>
  <si>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</si>
  <si>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[COMP_PRDT_ADD_3]</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</si>
  <si>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</si>
  <si>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</si>
  <si>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</si>
  <si>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</si>
  <si>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</si>
  <si>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</si>
  <si>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</si>
  <si>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</si>
  <si>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</si>
  <si>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</si>
  <si>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</si>
  <si>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</si>
  <si>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</si>
  <si>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</si>
  <si>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</si>
  <si>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</si>
  <si>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</si>
  <si>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</si>
  <si>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</si>
  <si>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</si>
  <si>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</si>
  <si>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</si>
  <si>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Kiểm tra trang so sánh</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</si>
  <si>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</si>
  <si>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</si>
  <si>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5. Dưới ô so sánh, 4 điện thoại với tên Samsung trong đó được hiển thị với dấu (+)</t>
  </si>
  <si>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</si>
  <si>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</si>
  <si>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</si>
  <si>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</si>
  <si>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</si>
  <si>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</si>
  <si>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</si>
  <si>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</si>
  <si>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</si>
  <si>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</si>
  <si>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</si>
  <si>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[COMP_PRDT_ADD_14]</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</si>
  <si>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</si>
  <si>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</si>
  <si>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</si>
  <si>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</si>
  <si>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</si>
  <si>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</si>
  <si>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[COMP_PRDT_REMOVE_17]</t>
  </si>
  <si>
    <t>Đã có sản phẩm "Điện thoại Xiaomi Redmi Note 13 Pro 8GB/128GB" ở trong dữ liệu so sánh</t>
  </si>
  <si>
    <t>[COMP_PRDT_ADD_11]</t>
  </si>
  <si>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4 cột, với các sản phẩm trong đó, các dòng là thuộc tính sản phẩm, so sánh nhanh,...</t>
  </si>
  <si>
    <t>Lọc ra các điểm khác biệt</t>
  </si>
  <si>
    <t>[COMP_PRDT_COMPARE_23]</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</si>
  <si>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</si>
  <si>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</si>
  <si>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Sản phẩm xóa khỏi danh sách, thay thế bằng nút [[+] Thêm so sánh]</t>
  </si>
  <si>
    <t>Thao tác thêm vào so sánh</t>
  </si>
  <si>
    <t>Thao tác xóa khỏi so sánh</t>
  </si>
  <si>
    <t>Nhấn nút [Thêm so sánh] để thêm sản phẩm chưa có</t>
  </si>
  <si>
    <t>Nhấn nút [Thêm so sánh] để thêm sản phẩm đã có</t>
  </si>
  <si>
    <t>Nhấn nút X để loại sản phẩm khỏi trang</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</si>
  <si>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</si>
  <si>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</si>
  <si>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</si>
  <si>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</si>
  <si>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</si>
  <si>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thất bại do quá nhiều mặt hàng đã thêm so sánh</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</si>
  <si>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</si>
  <si>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</si>
  <si>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</si>
  <si>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</si>
  <si>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</si>
  <si>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</si>
  <si>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</si>
  <si>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</si>
  <si>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</si>
  <si>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</si>
  <si>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</si>
  <si>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</si>
  <si>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</si>
  <si>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Kiểm tra giao diện của trang so sánh sản phẩm</t>
  </si>
  <si>
    <t>Lọc ra chỉ các điểm khác biệt giữa các sản phẩm trong trang so sánh sản phẩm</t>
  </si>
  <si>
    <t>Kiểm tra giao diện popup thêm sản phẩm trong trang so sánh sản phẩm</t>
  </si>
  <si>
    <t>Thêm sản phẩm thành công trên trang so sánh sản phẩm</t>
  </si>
  <si>
    <t>Thêm sản phẩm thất bại do trùng lặp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</si>
  <si>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</si>
  <si>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</si>
  <si>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</si>
  <si>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</si>
  <si>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</si>
  <si>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</si>
  <si>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</si>
  <si>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</si>
  <si>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</si>
  <si>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t>[COMP_PRDT_ADD_5]</t>
  </si>
  <si>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</si>
  <si>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</si>
  <si>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</si>
  <si>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</si>
  <si>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</si>
  <si>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</si>
  <si>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</si>
  <si>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</si>
  <si>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</si>
  <si>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</si>
  <si>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</si>
  <si>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</si>
  <si>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</si>
  <si>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</si>
  <si>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</si>
  <si>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</si>
  <si>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</si>
  <si>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</si>
  <si>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</si>
  <si>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</si>
  <si>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t>[COMP_PRDT_REMOVE_15]</t>
  </si>
  <si>
    <t>Expected Output: Chữ e không được có màu đỏ</t>
  </si>
  <si>
    <t>Xóa sản phẩm khỏi dữ liệu so sánh trong "… đã xem gần đây" trong popup thêm sản phẩm với nhiều hơn 1 sản phẩm</t>
  </si>
  <si>
    <r>
      <t xml:space="preserve">Trong dữ liệu so sánh ở dưới trang web, đã có 3 sản phẩm: sản phẩm ô thứ nhất, thứ hai và thứ ba trong trang: </t>
    </r>
    <r>
      <rPr>
        <u/>
        <sz val="10"/>
        <color rgb="FF0000FF"/>
        <rFont val="Calibri"/>
        <family val="2"/>
        <scheme val="minor"/>
      </rPr>
      <t>https://www.thegioididong.com/dtdd</t>
    </r>
  </si>
  <si>
    <t xml:space="preserve">
- Đã có 1 sản phẩm hoặc 2 sản phẩm trong dữ liệu so sánh
- Đã truy cập vào chi tiết sản phẩm của ít nhất 1 sản phẩm trong ô sản phẩm
(https://www.thegioididong.com/dtdd/samsung-galaxy-a16-8gb-128gb, https://www.thegioididong.com/dtdd/samsung-galaxy-a16-5g, https://www.thegioididong.com/dtdd/iphone-16)</t>
  </si>
  <si>
    <t xml:space="preserve">
- Đã có 'Iphone 16' và 'Samsung Galaxy A16' trong dữ liệu so sánh
- Đã truy cập vào chi tiết sản phẩm của 2 sản phẩm này
(https://www.thegioididong.com/dtdd/samsung-galaxy-a16-5g, https://www.thegioididong.com/dtdd/iphone-16)</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</si>
  <si>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ô có tên [[+] Thêm so sánh]
4. Nhấn nút [(✓) So sánh] vào ô sản phẩm "Iphone 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</si>
  <si>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("Iphone 16") sẽ bị ẩn đi khỏi thanh so sánh</t>
  </si>
  <si>
    <t>Xóa sản phẩm khỏi dữ liệu so sánh trong "… đã xem gần đây" trong popup thêm sản phẩm với 1 sản phẩm còn lại</t>
  </si>
  <si>
    <r>
      <t xml:space="preserve">
- Đã có "Samsung Galaxy A16" trong dữ liệu so sánh
- Đã truy cập vào chi tiết sản phẩm củasản phẩm đó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</si>
  <si>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3. Click vào ô có tên [[+] Thêm so sánh]
4. Nhấn nút [(✓) So sánh] ở ô sản phẩm "Samsung Galaxy A16"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</si>
  <si>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("Samsung Galaxy A16") sẽ bị ẩn đi khỏi thanh so sánh, đồng thời thanh so sánh sản phẩm bị ẩn đi</t>
  </si>
  <si>
    <t>[COMP_PRDT_REMOVE_23]</t>
  </si>
  <si>
    <t>Xóa sản phẩm khỏi dữ liệu so sánh sử dụng thanh tìm kiếm của popup thêm so sánh với nhiều hơn 1 sản phẩm</t>
  </si>
  <si>
    <t>Đã có sản phẩm lấy từ kết quả tìm thấy đầu tiên của "oppo" và của "xiaomi" (Oppo A58 8GB/128GB &amp; Xiaomi Redmi 14C 6GB/128GB) trong dữ liệu tìm kiếm</t>
  </si>
  <si>
    <t>Xóa sản phẩm khỏi dữ liệu so sánh sử dụng thanh tìm kiếm của popup thêm so sánh với  1 sản phẩm duy nhất trong dữ liệu</t>
  </si>
  <si>
    <t>Đã có sản phẩm lấy từ kết quả tìm thấy đầu tiên của "oppo" (Oppo A58 8GB/128GB) trong dữ liệu tìm kiếm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</si>
  <si>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"xiaomi"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</si>
  <si>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"xiaomi" trong đó được hiển thị với dấu (+) với sản phẩm trên cùng có dấu [(✓) So sánh]
5. Popup tự động đóng, sản phẩm từ kết quả đầu tiên trả sẽ bị xóa khỏi dữ liệu so sánh và ẩn khỏi thanh so sánh</t>
  </si>
  <si>
    <t>[COMP_PRDT_REMOVE_26]</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</si>
  <si>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"oppo"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</si>
  <si>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"oppo" trong đó được hiển thị với dấu (+) với sản phẩm trên cùng có dấu [(✓) So sánh]
5. Popup tự động đóng, sản phẩm từ kết quả đầu tiên trả sẽ bị xóa khỏi dữ liệu so sánh và thanh so sánh sản phẩm bị ẩn đi</t>
  </si>
  <si>
    <t>Kiểm tra giao diện ô popup thêm sản phẩm khi ấn nút  [[+] Thêm so sánh] trong thanh so sánh</t>
  </si>
  <si>
    <t>Thêm sản phẩm thành công từ trang Cửa hàng khi chưa có dữ liệu so sánh</t>
  </si>
  <si>
    <t>Kiểm tra thanh tìm kiếm trong thanh so sánh của popup thêm so sánh trong trang so sánh sản phẩm với chuỗi thường</t>
  </si>
  <si>
    <t>Đã có 2 sản phẩm trong dữ liệu so sánh</t>
  </si>
  <si>
    <t>[COMP_PRDT_COMPARE_28]</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</si>
  <si>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[Thêm so sánh] ở một ô sản phẩm trên cùng
6. Quan sát</t>
    </r>
  </si>
  <si>
    <t>Đã có 2 sản phẩm trong dữ liệu so sánh, một trong 2 sản phẩm đó là "Samsung Galaxy A16" (https://www.thegioididong.com/dtdd/samsung-galaxy-a16-5g)</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</si>
  <si>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để tìm"
6. Nhập vô ô tìm kiếm "samsung galaxy a16"
7. Nhấn [Thêm so sánh] vào ô sản phẩm đầu tiên trong các kết quả tìm được
8. Quan sát</t>
    </r>
  </si>
  <si>
    <t>Kiểm tra thanh tìm kiếm trong thanh so sánh của popup thêm so sánh trong trang so sánh sản phẩm với kí tự đặc biệt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</si>
  <si>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"jkliuyt!@#$%^&amp;*()"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</si>
  <si>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jkliuyt^&amp;()</t>
    </r>
    <r>
      <rPr>
        <sz val="10"/>
        <color theme="1"/>
        <rFont val="Calibri"/>
        <family val="2"/>
      </rPr>
      <t>"</t>
    </r>
  </si>
  <si>
    <t>Kiểm tra thanh tìm kiếm trong thanh so sánh của popup thêm so sánh trong trang so sánh sản phẩm với thẻ html (&lt;p&gt;, &lt;script&gt;, &lt;strong&gt;…)</t>
  </si>
  <si>
    <t>Xóa sản phẩm ra khỏi dữ liệu so sánh trên trang so sánh sản phẩm với nhiều hơn 1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</si>
  <si>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Click vào nút X ở góc trên trái của một ô sản phẩm
5. Quan sát</t>
    </r>
  </si>
  <si>
    <t>Xóa sản phẩm trong trang chi tiết sản phẩm với nhiều hơn 1 sản phẩm</t>
  </si>
  <si>
    <t>Đã có ít nhất 2 sản phẩm trong dữ liệu so sánh, trong đó có sản phẩm "Điện thoại Samsung Galaxy S24 Ultra 5G" (https://www.thegioididong.com/dtdd/samsung-galaxy-s24-ultra-5g)</t>
  </si>
  <si>
    <t>Đã có sản phẩm "Điện thoại Samsung Galaxy S24 Ultra 5G" (https://www.thegioididong.com/dtdd/samsung-galaxy-s24-ultra-5g)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</si>
  <si>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Click vào nút [[✓] So sánh] bên cạnh [Thống kê]
3. Quan sát</t>
    </r>
  </si>
  <si>
    <t>1. Trình duyệt phải hiển thị trang Thegioididong, với chi tiết điện thoại Điện thoại Samsung Galaxy S24 Ultra 5G
3.
- Thanh so sánh xuất hiện ở dưới màn hình, với dữ liệu so sánh xuất hiện
- Dấu (✓) trong nút "So sánh" được đổi thành dấu (+)
- Sản phẩm sẽ bị xóa khỏi thanh so sánh
- Nút 'So sánh ngay' sẽ tối màu nếu trong dữ liệu chỉ còn 1 sản phẩm</t>
  </si>
  <si>
    <t>Xóa sản phẩm trong trang chi tiết sản phẩm khi còn 1 sản phẩm trong dữ liệu so sánh</t>
  </si>
  <si>
    <t xml:space="preserve">1. Trình duyệt phải hiển thị trang Thegioididong, với chi tiết điện thoại Điện thoại Samsung Galaxy S24 Ultra 5G
3.
- Dấu (✓) trong nút "So sánh" được thay bằng dấu (+)
- Sản phẩm sẽ bị xóa khỏi dữ liệu
- Thanh so sánh bị ẩn đi </t>
  </si>
  <si>
    <t>Kiểm tra điều hướng khi nhấn nút "Mua ngay"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</si>
  <si>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ngay" ở cột đầu tiên
5.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</si>
  <si>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 Sản phẩm tự thêm vào giỏ hàng
- Trang web chuyển hướng sang trang giỏ hàng, với sản phẩm đó hiển thị </t>
  </si>
  <si>
    <t>Kiểm tra điều hướng khi nhấn nút "Mua trả chậm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</si>
  <si>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trả chậm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</si>
  <si>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gói trả chậm ở dưới</t>
  </si>
  <si>
    <t>Kiểm tra điều hướng khi nhấn nút "Trả chậm qua thẻ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</si>
  <si>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"Trả chậm qua thẻ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</si>
  <si>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ô chứa các bước để thực hiện trả chậm bằng thẻ</t>
  </si>
  <si>
    <t>Nhấn nút (✓) vào kết quả tìm kiếm</t>
  </si>
  <si>
    <t>Điều hướng</t>
  </si>
  <si>
    <t>Nhấn nút "Mua ngay" ở dưới cột</t>
  </si>
  <si>
    <t>Nhấn nút "Mua trả chậm 0%" ở dưới cột</t>
  </si>
  <si>
    <t>Nhấn nút "Trả chậm qua thẻ 0%" ở dưới cột</t>
  </si>
  <si>
    <t>Thêm sản phẩm thành công trên trang chi tiết sản phẩm</t>
  </si>
  <si>
    <t>Thêm sản phẩm thất bại trên trang chi tiết sản phẩm</t>
  </si>
  <si>
    <t>Đã có 3 sản phẩm trong dữ liệu so sánh</t>
  </si>
  <si>
    <t>1. Trình duyệt phải hiển thị trang Thegioididong, với chi tiết điện thoại Xiaomi Redmi Note 13 Pro
3.
- Thanh so sánh hiển thị, với các sản phẩm trong dữ liệu hiện ra
- Thông báo "Vui lòng xóa bớt sản phẩm để tiếp tục so sánh!" hiển thị ở giữa trang web 
- Sản phẩm có ở trong thanh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</si>
  <si>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Nhấn nút [X Đóng] ở góc trên phải của popup
5.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</si>
  <si>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
5. Popup ẩn đi khỏi màn hình</t>
  </si>
  <si>
    <t>Kiểm tra tương tác đóng popup thêm sản phẩm khi ấn nút [X Đóng] trên popup thêm sản phẩm</t>
  </si>
  <si>
    <t>Kiểm tra tương tác đóng popup thêm sản phẩm khi ấn nút [X Đóng] trên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</si>
  <si>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trong thanh so sánh
4. Tick vào ô "Chỉ xem điểm khác biệt"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</si>
  <si>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trong thanh so sánh
5. Quan sát</t>
    </r>
  </si>
  <si>
    <t>Kiểm tra nút [So sánh] của trang chi tiết sản phẩm khi sản phẩm không tồn tại trong dữ liệu so sánh</t>
  </si>
  <si>
    <t>Sản phẩm "Điện thoại Samsung Galaxy S24 Ultra 5G" (https://www.thegioididong.com/dtdd/samsung-galaxy-s24-ultra-5g) không nằm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</si>
  <si>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</si>
  <si>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Nhấn vào nút [So sánh ngay] trong thanh so sánh
4. Nhấn vào nút [[+] Thêm sản phẩm] ở cột thứ 3
5. Nhấn nút [X Đóng] ở góc trái của popup
6.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</si>
  <si>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ẩn khỏi trang web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</si>
  <si>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Popup hiện lên có ô [X Đóng], ô tìm kiếm và danh sách sản phẩm với các nút "Thêm"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</si>
  <si>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"oppo"
7.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</si>
  <si>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7. Một ô hiển thị đè lên popup ở dưới ô tìm kiếm, hiển thị 4 sản phẩm với tên chứa "oppo" với dấu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</si>
  <si>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6. Popup hiện lên có ô [X Đóng], ô tìm kiếm và danh sách sản phẩm với "Thêm sản phẩm"
5. Popup tự đông đóng, sản phẩm được thêm vào trang so sánh, cập nhật các thuộc tính so sánh
8. Một thông báo "sản phẩm này đã tồn tại" hiển thị</t>
  </si>
  <si>
    <t>2.
- Trình duyệt phải hiển thị trang Thegioididong, với chi tiết điện thoại Xiaomi Redmi Note 13 Pro
- Nút "So sánh" có dấu (+) đặt trước tên
- Nếu có dữ liệu so sánh, một ô [So sánh (n)] hiển thị ở góc dưới trái trang web, với n là số các sản phẩm so sánh trong dữ liệu
- Sản phẩm có ở trong thanh so sánh</t>
  </si>
  <si>
    <t>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t>
  </si>
  <si>
    <r>
      <t xml:space="preserve">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 </t>
    </r>
    <r>
      <rPr>
        <b/>
        <sz val="10"/>
        <color theme="1"/>
        <rFont val="Calibri"/>
        <family val="2"/>
      </rPr>
      <t>abcdef</t>
    </r>
    <r>
      <rPr>
        <sz val="10"/>
        <color theme="1"/>
        <rFont val="Calibri"/>
        <family val="2"/>
      </rPr>
      <t>"</t>
    </r>
  </si>
  <si>
    <r>
      <t xml:space="preserve">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 </t>
    </r>
    <r>
      <rPr>
        <b/>
        <sz val="10"/>
        <color theme="1"/>
        <rFont val="Calibri"/>
        <family val="2"/>
      </rPr>
      <t>lenovo</t>
    </r>
    <r>
      <rPr>
        <sz val="10"/>
        <color theme="1"/>
        <rFont val="Calibri"/>
        <family val="2"/>
      </rPr>
      <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</si>
  <si>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"jkliuyt!@#$%^&amp;*()"
7.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</si>
  <si>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dữ liệu cho sản phẩm: </t>
    </r>
    <r>
      <rPr>
        <b/>
        <sz val="10"/>
        <color theme="1"/>
        <rFont val="Calibri"/>
        <family val="2"/>
      </rPr>
      <t>jkliuyt^&amp;()</t>
    </r>
    <r>
      <rPr>
        <sz val="10"/>
        <color theme="1"/>
        <rFont val="Calibri"/>
        <family val="2"/>
      </rPr>
      <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</si>
  <si>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"chao&lt;small&gt;jjg&lt;/small&gt;"
7.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</si>
  <si>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kết quả cho từ khóa: </t>
    </r>
    <r>
      <rPr>
        <b/>
        <sz val="10"/>
        <color theme="1"/>
        <rFont val="Calibri"/>
        <family val="2"/>
      </rPr>
      <t>chaojjg</t>
    </r>
    <r>
      <rPr>
        <sz val="10"/>
        <color theme="1"/>
        <rFont val="Calibri"/>
        <family val="2"/>
      </rPr>
      <t>"</t>
    </r>
  </si>
  <si>
    <t>Release Included Module: Compare Product</t>
  </si>
  <si>
    <t>Lâm Trạch Đông</t>
  </si>
  <si>
    <t>Thegioididong.com</t>
  </si>
  <si>
    <t>TGDD</t>
  </si>
  <si>
    <t>0.5</t>
  </si>
  <si>
    <t>Modify test design and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</si>
</sst>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s>
  <cellStyleXfs count="2">
    <xf numFmtId="0" fontId="0" fillId="0" borderId="0"/>
    <xf numFmtId="0" fontId="29" fillId="0" borderId="0" applyNumberFormat="0" applyFill="0" applyBorder="0" applyAlignment="0" applyProtection="0"/>
  </cellStyleXfs>
  <cellXfs count="186">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4" fillId="0" borderId="18" xfId="0" applyFont="1" applyBorder="1" applyAlignment="1">
      <alignment vertical="center" wrapText="1"/>
    </xf>
    <xf numFmtId="0" fontId="24" fillId="0" borderId="27" xfId="0" applyFont="1" applyBorder="1" applyAlignment="1">
      <alignment horizontal="left" vertical="center" wrapText="1"/>
    </xf>
    <xf numFmtId="0" fontId="24" fillId="0" borderId="26" xfId="0" applyFont="1" applyBorder="1" applyAlignment="1">
      <alignment horizontal="left" vertical="center" wrapText="1"/>
    </xf>
    <xf numFmtId="0" fontId="25" fillId="0" borderId="5" xfId="0" applyFont="1" applyBorder="1" applyAlignment="1">
      <alignment horizontal="left" vertical="top" wrapText="1"/>
    </xf>
    <xf numFmtId="0" fontId="14" fillId="0" borderId="40" xfId="0" applyFont="1" applyBorder="1" applyAlignment="1">
      <alignment horizontal="left" vertical="center" wrapText="1"/>
    </xf>
    <xf numFmtId="0" fontId="24" fillId="0" borderId="40" xfId="0" applyFont="1" applyBorder="1" applyAlignment="1">
      <alignment vertical="center" wrapText="1"/>
    </xf>
    <xf numFmtId="0" fontId="26" fillId="5" borderId="18" xfId="0" applyFont="1" applyFill="1" applyBorder="1" applyAlignment="1">
      <alignment horizontal="center" vertical="center" wrapText="1"/>
    </xf>
    <xf numFmtId="0" fontId="24" fillId="0" borderId="18" xfId="0" applyFont="1" applyBorder="1" applyAlignment="1">
      <alignment horizontal="left" vertical="center" wrapText="1"/>
    </xf>
    <xf numFmtId="0" fontId="24" fillId="0" borderId="40" xfId="0" applyFont="1" applyBorder="1" applyAlignment="1">
      <alignment horizontal="left" vertical="center" wrapText="1"/>
    </xf>
    <xf numFmtId="0" fontId="27" fillId="0" borderId="0" xfId="0" applyFont="1"/>
    <xf numFmtId="0" fontId="27" fillId="0" borderId="0" xfId="0" applyFont="1" applyAlignment="1">
      <alignment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15" fillId="0" borderId="50" xfId="0" applyFont="1" applyBorder="1" applyAlignment="1">
      <alignment horizontal="left" vertical="top"/>
    </xf>
    <xf numFmtId="0" fontId="25" fillId="0" borderId="50" xfId="0" applyFont="1" applyBorder="1" applyAlignment="1">
      <alignment horizontal="left" vertical="top"/>
    </xf>
    <xf numFmtId="0" fontId="31" fillId="0" borderId="5" xfId="1" applyFont="1" applyBorder="1" applyAlignment="1">
      <alignment horizontal="left" vertical="top" wrapText="1"/>
    </xf>
    <xf numFmtId="0" fontId="15" fillId="0" borderId="5" xfId="1" applyFont="1" applyBorder="1" applyAlignment="1">
      <alignment horizontal="left" vertical="top" wrapText="1"/>
    </xf>
    <xf numFmtId="0" fontId="25" fillId="0" borderId="5" xfId="1" applyFont="1" applyBorder="1" applyAlignment="1">
      <alignment horizontal="left" vertical="top" wrapText="1"/>
    </xf>
    <xf numFmtId="0" fontId="25" fillId="0" borderId="6" xfId="0" applyFont="1" applyBorder="1" applyAlignment="1">
      <alignment horizontal="left" vertical="top" wrapText="1"/>
    </xf>
    <xf numFmtId="0" fontId="0" fillId="0" borderId="58" xfId="0" applyBorder="1"/>
    <xf numFmtId="0" fontId="18" fillId="2" borderId="40" xfId="0" applyFont="1" applyFill="1" applyBorder="1"/>
    <xf numFmtId="0" fontId="9" fillId="2" borderId="40" xfId="0" applyFont="1" applyFill="1" applyBorder="1" applyAlignment="1">
      <alignment horizontal="left" vertical="center"/>
    </xf>
    <xf numFmtId="0" fontId="17" fillId="2" borderId="40" xfId="0" applyFont="1" applyFill="1" applyBorder="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3">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26" Type="http://schemas.openxmlformats.org/officeDocument/2006/relationships/hyperlink" Target="https://www.thegioididong.com/dtdd" TargetMode="External"/><Relationship Id="rId39" Type="http://schemas.openxmlformats.org/officeDocument/2006/relationships/hyperlink" Target="https://www.thegioididong.com/dtdd" TargetMode="Externa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42" Type="http://schemas.openxmlformats.org/officeDocument/2006/relationships/hyperlink" Target="https://www.thegioididong.com/dtdd" TargetMode="External"/><Relationship Id="rId47" Type="http://schemas.openxmlformats.org/officeDocument/2006/relationships/hyperlink" Target="https://www.thegioididong.com/dtdd" TargetMode="External"/><Relationship Id="rId50" Type="http://schemas.openxmlformats.org/officeDocument/2006/relationships/hyperlink" Target="https://www.thegioididong.com/dtdd/xiaomi-redmi-note-13-pro" TargetMode="External"/><Relationship Id="rId55" Type="http://schemas.openxmlformats.org/officeDocument/2006/relationships/printerSettings" Target="../printerSettings/printerSettings1.bin"/><Relationship Id="rId7" Type="http://schemas.openxmlformats.org/officeDocument/2006/relationships/hyperlink" Target="https://www.thegioididong.com/dtdd/samsung-galaxy-a16-8gb-128gb" TargetMode="Externa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9"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hyperlink" Target="https://www.thegioididong.com/dtdd/samsung-galaxy-a16-8gb-128gb" TargetMode="External"/><Relationship Id="rId40" Type="http://schemas.openxmlformats.org/officeDocument/2006/relationships/hyperlink" Target="https://www.thegioididong.com/dtdd" TargetMode="External"/><Relationship Id="rId45" Type="http://schemas.openxmlformats.org/officeDocument/2006/relationships/hyperlink" Target="https://www.thegioididong.com/dtdd/samsung-galaxy-s24-ultra-5g" TargetMode="External"/><Relationship Id="rId53" Type="http://schemas.openxmlformats.org/officeDocument/2006/relationships/hyperlink" Target="https://www.thegioididong.com/dtdd" TargetMode="External"/><Relationship Id="rId58" Type="http://schemas.openxmlformats.org/officeDocument/2006/relationships/comments" Target="../comments2.xml"/><Relationship Id="rId5"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4" Type="http://schemas.openxmlformats.org/officeDocument/2006/relationships/hyperlink" Target="https://www.thegioididong.com/laptop"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samsung-galaxy-a16-8gb-128gb" TargetMode="External"/><Relationship Id="rId43" Type="http://schemas.openxmlformats.org/officeDocument/2006/relationships/hyperlink" Target="https://www.thegioididong.com/dtdd" TargetMode="External"/><Relationship Id="rId48" Type="http://schemas.openxmlformats.org/officeDocument/2006/relationships/hyperlink" Target="https://www.thegioididong.com/dtdd" TargetMode="External"/><Relationship Id="rId56" Type="http://schemas.openxmlformats.org/officeDocument/2006/relationships/vmlDrawing" Target="../drawings/vmlDrawing2.vml"/><Relationship Id="rId8" Type="http://schemas.openxmlformats.org/officeDocument/2006/relationships/hyperlink" Target="https://www.thegioididong.com/dtdd" TargetMode="External"/><Relationship Id="rId51" Type="http://schemas.openxmlformats.org/officeDocument/2006/relationships/hyperlink" Target="https://www.thegioididong.com/dtdd/xiaomi-redmi-note-13-pro" TargetMode="External"/><Relationship Id="rId3" Type="http://schemas.openxmlformats.org/officeDocument/2006/relationships/hyperlink" Target="https://www.thegioididong.com/dtdd"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hyperlink" Target="https://www.thegioididong.com/dtdd" TargetMode="External"/><Relationship Id="rId46" Type="http://schemas.openxmlformats.org/officeDocument/2006/relationships/hyperlink" Target="https://www.thegioididong.com/dtdd/samsung-galaxy-s24-ultra-5g" TargetMode="External"/><Relationship Id="rId20" Type="http://schemas.openxmlformats.org/officeDocument/2006/relationships/hyperlink" Target="https://www.thegioididong.com/dtdd" TargetMode="External"/><Relationship Id="rId41" Type="http://schemas.openxmlformats.org/officeDocument/2006/relationships/hyperlink" Target="https://www.thegioididong.com/dtdd" TargetMode="External"/><Relationship Id="rId54" Type="http://schemas.openxmlformats.org/officeDocument/2006/relationships/hyperlink" Target="https://www.thegioididong.com/dtdd/samsung-galaxy-s24-ultra-5g" TargetMode="External"/><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5" Type="http://schemas.openxmlformats.org/officeDocument/2006/relationships/hyperlink" Target="https://www.thegioididong.com/dtdd"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xiaomi-redmi-note-13-pro" TargetMode="External"/><Relationship Id="rId36" Type="http://schemas.openxmlformats.org/officeDocument/2006/relationships/hyperlink" Target="https://www.thegioididong.com/dtdd" TargetMode="External"/><Relationship Id="rId49" Type="http://schemas.openxmlformats.org/officeDocument/2006/relationships/hyperlink" Target="https://www.thegioididong.com/dtdd" TargetMode="External"/><Relationship Id="rId57" Type="http://schemas.openxmlformats.org/officeDocument/2006/relationships/table" Target="../tables/table1.xml"/><Relationship Id="rId10"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4" Type="http://schemas.openxmlformats.org/officeDocument/2006/relationships/hyperlink" Target="https://www.thegioididong.com/dtdd" TargetMode="External"/><Relationship Id="rId52"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B15" sqref="B15:B16"/>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56" t="s">
        <v>0</v>
      </c>
      <c r="C2" s="157"/>
      <c r="D2" s="157"/>
      <c r="E2" s="157"/>
      <c r="F2" s="157"/>
      <c r="G2" s="158"/>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59" t="s">
        <v>289</v>
      </c>
      <c r="D4" s="157"/>
      <c r="E4" s="158"/>
      <c r="F4" s="8" t="s">
        <v>2</v>
      </c>
      <c r="G4" s="9" t="s">
        <v>61</v>
      </c>
      <c r="H4" s="1"/>
      <c r="I4" s="1"/>
      <c r="J4" s="1"/>
      <c r="K4" s="1"/>
      <c r="L4" s="1"/>
      <c r="M4" s="1"/>
      <c r="N4" s="1"/>
      <c r="O4" s="1"/>
      <c r="P4" s="1"/>
      <c r="Q4" s="1"/>
      <c r="R4" s="1"/>
      <c r="S4" s="1"/>
      <c r="T4" s="1"/>
      <c r="U4" s="1"/>
      <c r="V4" s="1"/>
      <c r="W4" s="1"/>
      <c r="X4" s="1"/>
      <c r="Y4" s="1"/>
      <c r="Z4" s="1"/>
    </row>
    <row r="5" spans="1:26" ht="14.25" customHeight="1" x14ac:dyDescent="0.3">
      <c r="A5" s="1"/>
      <c r="B5" s="8" t="s">
        <v>3</v>
      </c>
      <c r="C5" s="159" t="s">
        <v>290</v>
      </c>
      <c r="D5" s="157"/>
      <c r="E5" s="158"/>
      <c r="F5" s="8" t="s">
        <v>4</v>
      </c>
      <c r="G5" s="9" t="s">
        <v>62</v>
      </c>
      <c r="H5" s="1"/>
      <c r="I5" s="1"/>
      <c r="J5" s="1"/>
      <c r="K5" s="1"/>
      <c r="L5" s="1"/>
      <c r="M5" s="1"/>
      <c r="N5" s="1"/>
      <c r="O5" s="1"/>
      <c r="P5" s="1"/>
      <c r="Q5" s="1"/>
      <c r="R5" s="1"/>
      <c r="S5" s="1"/>
      <c r="T5" s="1"/>
      <c r="U5" s="1"/>
      <c r="V5" s="1"/>
      <c r="W5" s="1"/>
      <c r="X5" s="1"/>
      <c r="Y5" s="1"/>
      <c r="Z5" s="1"/>
    </row>
    <row r="6" spans="1:26" ht="15.75" customHeight="1" x14ac:dyDescent="0.3">
      <c r="A6" s="1"/>
      <c r="B6" s="160" t="s">
        <v>5</v>
      </c>
      <c r="C6" s="162" t="str">
        <f>C5&amp;"_TestCase_V0.4"</f>
        <v>TGDD_TestCase_V0.4</v>
      </c>
      <c r="D6" s="163"/>
      <c r="E6" s="164"/>
      <c r="F6" s="8" t="s">
        <v>6</v>
      </c>
      <c r="G6" s="10">
        <v>45591</v>
      </c>
      <c r="H6" s="1"/>
      <c r="I6" s="1"/>
      <c r="J6" s="1"/>
      <c r="K6" s="1"/>
      <c r="L6" s="1"/>
      <c r="M6" s="1"/>
      <c r="N6" s="1"/>
      <c r="O6" s="1"/>
      <c r="P6" s="1"/>
      <c r="Q6" s="1"/>
      <c r="R6" s="1"/>
      <c r="S6" s="1"/>
      <c r="T6" s="1"/>
      <c r="U6" s="1"/>
      <c r="V6" s="1"/>
      <c r="W6" s="1"/>
      <c r="X6" s="1"/>
      <c r="Y6" s="1"/>
      <c r="Z6" s="1"/>
    </row>
    <row r="7" spans="1:26" ht="13.5" customHeight="1" x14ac:dyDescent="0.3">
      <c r="A7" s="1"/>
      <c r="B7" s="161"/>
      <c r="C7" s="165"/>
      <c r="D7" s="166"/>
      <c r="E7" s="167"/>
      <c r="F7" s="8" t="s">
        <v>7</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68</v>
      </c>
      <c r="D13" s="21"/>
      <c r="E13" s="21" t="s">
        <v>69</v>
      </c>
      <c r="F13" s="21" t="s">
        <v>70</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71</v>
      </c>
      <c r="D14" s="21"/>
      <c r="E14" s="21" t="s">
        <v>69</v>
      </c>
      <c r="F14" s="21" t="s">
        <v>73</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149</v>
      </c>
      <c r="D15" s="21"/>
      <c r="E15" s="21" t="s">
        <v>69</v>
      </c>
      <c r="F15" s="21" t="s">
        <v>150</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19">
        <v>45674</v>
      </c>
      <c r="C16" s="20" t="s">
        <v>291</v>
      </c>
      <c r="D16" s="21"/>
      <c r="E16" s="21" t="s">
        <v>69</v>
      </c>
      <c r="F16" s="21" t="s">
        <v>292</v>
      </c>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18</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8" t="s">
        <v>1</v>
      </c>
      <c r="C3" s="169"/>
      <c r="D3" s="170" t="str">
        <f>Cover!C4</f>
        <v>Thegioididong.com</v>
      </c>
      <c r="E3" s="157"/>
      <c r="F3" s="158"/>
      <c r="G3" s="7"/>
      <c r="H3" s="7"/>
      <c r="I3" s="7"/>
      <c r="J3" s="7"/>
      <c r="K3" s="7"/>
      <c r="L3" s="7"/>
      <c r="M3" s="7"/>
      <c r="N3" s="7"/>
      <c r="O3" s="7"/>
      <c r="P3" s="7"/>
      <c r="Q3" s="7"/>
      <c r="R3" s="7"/>
      <c r="S3" s="7"/>
      <c r="T3" s="7"/>
      <c r="U3" s="7"/>
      <c r="V3" s="7"/>
      <c r="W3" s="7"/>
      <c r="X3" s="7"/>
      <c r="Y3" s="7"/>
      <c r="Z3" s="7"/>
    </row>
    <row r="4" spans="1:26" ht="12.75" customHeight="1" x14ac:dyDescent="0.3">
      <c r="A4" s="7"/>
      <c r="B4" s="168" t="s">
        <v>3</v>
      </c>
      <c r="C4" s="169"/>
      <c r="D4" s="170" t="str">
        <f>Cover!C5</f>
        <v>TGDD</v>
      </c>
      <c r="E4" s="157"/>
      <c r="F4" s="158"/>
      <c r="G4" s="7"/>
      <c r="H4" s="7"/>
      <c r="I4" s="7"/>
      <c r="J4" s="7"/>
      <c r="K4" s="7"/>
      <c r="L4" s="7"/>
      <c r="M4" s="7"/>
      <c r="N4" s="7"/>
      <c r="O4" s="7"/>
      <c r="P4" s="7"/>
      <c r="Q4" s="7"/>
      <c r="R4" s="7"/>
      <c r="S4" s="7"/>
      <c r="T4" s="7"/>
      <c r="U4" s="7"/>
      <c r="V4" s="7"/>
      <c r="W4" s="7"/>
      <c r="X4" s="7"/>
      <c r="Y4" s="7"/>
      <c r="Z4" s="7"/>
    </row>
    <row r="5" spans="1:26" ht="84.75" customHeight="1" x14ac:dyDescent="0.3">
      <c r="A5" s="34"/>
      <c r="B5" s="171" t="s">
        <v>19</v>
      </c>
      <c r="C5" s="158"/>
      <c r="D5" s="172" t="s">
        <v>63</v>
      </c>
      <c r="E5" s="157"/>
      <c r="F5" s="158"/>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20</v>
      </c>
      <c r="C8" s="41" t="s">
        <v>21</v>
      </c>
      <c r="D8" s="41" t="s">
        <v>22</v>
      </c>
      <c r="E8" s="42" t="s">
        <v>23</v>
      </c>
      <c r="F8" s="43" t="s">
        <v>24</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64</v>
      </c>
      <c r="D9" s="113" t="s">
        <v>72</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25</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07"/>
  <sheetViews>
    <sheetView workbookViewId="0">
      <selection activeCell="D40" sqref="D40"/>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21" t="s">
        <v>26</v>
      </c>
      <c r="B1" s="121" t="s">
        <v>27</v>
      </c>
      <c r="C1" s="121" t="s">
        <v>28</v>
      </c>
      <c r="D1" s="121" t="s">
        <v>29</v>
      </c>
      <c r="E1" s="121" t="s">
        <v>30</v>
      </c>
      <c r="F1" s="121" t="s">
        <v>31</v>
      </c>
      <c r="G1" s="55"/>
      <c r="H1" s="55"/>
      <c r="I1" s="55"/>
      <c r="J1" s="55"/>
      <c r="K1" s="55"/>
      <c r="L1" s="55"/>
      <c r="M1" s="55"/>
      <c r="N1" s="55"/>
      <c r="O1" s="55"/>
      <c r="P1" s="55"/>
      <c r="Q1" s="55"/>
      <c r="R1" s="55"/>
      <c r="S1" s="55"/>
      <c r="T1" s="55"/>
      <c r="U1" s="55"/>
      <c r="V1" s="55"/>
      <c r="W1" s="55"/>
      <c r="X1" s="55"/>
      <c r="Y1" s="55"/>
      <c r="Z1" s="55"/>
    </row>
    <row r="2" spans="1:26" ht="26.4" x14ac:dyDescent="0.3">
      <c r="A2" s="114" t="s">
        <v>66</v>
      </c>
      <c r="B2" s="114" t="s">
        <v>74</v>
      </c>
      <c r="C2" s="114" t="s">
        <v>77</v>
      </c>
      <c r="D2" s="115" t="s">
        <v>80</v>
      </c>
      <c r="E2" s="122" t="s">
        <v>32</v>
      </c>
      <c r="F2" s="115"/>
      <c r="G2" s="59"/>
      <c r="H2" s="59"/>
      <c r="I2" s="59"/>
      <c r="J2" s="59"/>
      <c r="K2" s="59"/>
      <c r="L2" s="59"/>
      <c r="M2" s="59"/>
      <c r="N2" s="59"/>
      <c r="O2" s="59"/>
      <c r="P2" s="59"/>
      <c r="Q2" s="59"/>
      <c r="R2" s="59"/>
      <c r="S2" s="59"/>
      <c r="T2" s="59"/>
      <c r="U2" s="59"/>
      <c r="V2" s="59"/>
      <c r="W2" s="59"/>
      <c r="X2" s="59"/>
      <c r="Y2" s="59"/>
      <c r="Z2" s="59"/>
    </row>
    <row r="3" spans="1:26" ht="14.4" x14ac:dyDescent="0.3">
      <c r="A3" s="117"/>
      <c r="B3" s="117"/>
      <c r="C3" s="117"/>
      <c r="D3" s="115" t="s">
        <v>81</v>
      </c>
      <c r="E3" s="122" t="s">
        <v>32</v>
      </c>
      <c r="F3" s="115"/>
      <c r="G3" s="59"/>
      <c r="H3" s="59"/>
      <c r="I3" s="59"/>
      <c r="J3" s="59"/>
      <c r="K3" s="59"/>
      <c r="L3" s="59"/>
      <c r="M3" s="59"/>
      <c r="N3" s="59"/>
      <c r="O3" s="59"/>
      <c r="P3" s="59"/>
      <c r="Q3" s="59"/>
      <c r="R3" s="59"/>
      <c r="S3" s="59"/>
      <c r="T3" s="59"/>
      <c r="U3" s="59"/>
      <c r="V3" s="59"/>
      <c r="W3" s="59"/>
      <c r="X3" s="59"/>
      <c r="Y3" s="59"/>
      <c r="Z3" s="59"/>
    </row>
    <row r="4" spans="1:26" ht="14.4" x14ac:dyDescent="0.3">
      <c r="A4" s="117"/>
      <c r="B4" s="117"/>
      <c r="C4" s="124"/>
      <c r="D4" s="124" t="s">
        <v>98</v>
      </c>
      <c r="E4" s="124" t="s">
        <v>33</v>
      </c>
      <c r="F4" s="115"/>
      <c r="G4" s="59"/>
      <c r="H4" s="59"/>
      <c r="I4" s="59"/>
      <c r="J4" s="59"/>
      <c r="K4" s="59"/>
      <c r="L4" s="59"/>
      <c r="M4" s="59"/>
      <c r="N4" s="59"/>
      <c r="O4" s="59"/>
      <c r="P4" s="59"/>
      <c r="Q4" s="59"/>
      <c r="R4" s="59"/>
      <c r="S4" s="59"/>
      <c r="T4" s="59"/>
      <c r="U4" s="59"/>
      <c r="V4" s="59"/>
      <c r="W4" s="59"/>
      <c r="X4" s="59"/>
      <c r="Y4" s="59"/>
      <c r="Z4" s="59"/>
    </row>
    <row r="5" spans="1:26" ht="14.4" x14ac:dyDescent="0.3">
      <c r="A5" s="117"/>
      <c r="B5" s="117"/>
      <c r="C5" s="124"/>
      <c r="D5" s="124" t="s">
        <v>97</v>
      </c>
      <c r="E5" s="124" t="s">
        <v>32</v>
      </c>
      <c r="F5" s="115"/>
      <c r="G5" s="59"/>
      <c r="H5" s="59"/>
      <c r="I5" s="59"/>
      <c r="J5" s="59"/>
      <c r="K5" s="59"/>
      <c r="L5" s="59"/>
      <c r="M5" s="59"/>
      <c r="N5" s="59"/>
      <c r="O5" s="59"/>
      <c r="P5" s="59"/>
      <c r="Q5" s="59"/>
      <c r="R5" s="59"/>
      <c r="S5" s="59"/>
      <c r="T5" s="59"/>
      <c r="U5" s="59"/>
      <c r="V5" s="59"/>
      <c r="W5" s="59"/>
      <c r="X5" s="59"/>
      <c r="Y5" s="59"/>
      <c r="Z5" s="59"/>
    </row>
    <row r="6" spans="1:26" ht="26.4" x14ac:dyDescent="0.3">
      <c r="A6" s="117"/>
      <c r="B6" s="117"/>
      <c r="C6" s="117" t="s">
        <v>79</v>
      </c>
      <c r="D6" s="115" t="s">
        <v>82</v>
      </c>
      <c r="E6" s="122" t="s">
        <v>32</v>
      </c>
      <c r="F6" s="115"/>
      <c r="G6" s="59"/>
      <c r="H6" s="59"/>
      <c r="I6" s="59"/>
      <c r="J6" s="59"/>
      <c r="K6" s="59"/>
      <c r="L6" s="59"/>
      <c r="M6" s="59"/>
      <c r="N6" s="59"/>
      <c r="O6" s="59"/>
      <c r="P6" s="59"/>
      <c r="Q6" s="59"/>
      <c r="R6" s="59"/>
      <c r="S6" s="59"/>
      <c r="T6" s="59"/>
      <c r="U6" s="59"/>
      <c r="V6" s="59"/>
      <c r="W6" s="59"/>
      <c r="X6" s="59"/>
      <c r="Y6" s="59"/>
      <c r="Z6" s="59"/>
    </row>
    <row r="7" spans="1:26" ht="14.4" x14ac:dyDescent="0.3">
      <c r="A7" s="117"/>
      <c r="B7" s="117"/>
      <c r="C7" s="123"/>
      <c r="D7" s="120" t="s">
        <v>89</v>
      </c>
      <c r="E7" s="122" t="s">
        <v>33</v>
      </c>
      <c r="F7" s="115"/>
      <c r="G7" s="59"/>
      <c r="H7" s="59"/>
      <c r="I7" s="59"/>
      <c r="J7" s="59"/>
      <c r="K7" s="59"/>
      <c r="L7" s="59"/>
      <c r="M7" s="59"/>
      <c r="N7" s="59"/>
      <c r="O7" s="59"/>
      <c r="P7" s="59"/>
      <c r="Q7" s="59"/>
      <c r="R7" s="59"/>
      <c r="S7" s="59"/>
      <c r="T7" s="59"/>
      <c r="U7" s="59"/>
      <c r="V7" s="59"/>
      <c r="W7" s="59"/>
      <c r="X7" s="59"/>
      <c r="Y7" s="59"/>
      <c r="Z7" s="59"/>
    </row>
    <row r="8" spans="1:26" ht="14.4" x14ac:dyDescent="0.3">
      <c r="A8" s="117"/>
      <c r="B8" s="117"/>
      <c r="C8" s="124"/>
      <c r="D8" s="124" t="s">
        <v>91</v>
      </c>
      <c r="E8" s="122" t="s">
        <v>32</v>
      </c>
      <c r="F8" s="115"/>
      <c r="G8" s="59"/>
      <c r="H8" s="59"/>
      <c r="I8" s="59"/>
      <c r="J8" s="59"/>
      <c r="K8" s="59"/>
      <c r="L8" s="59"/>
      <c r="M8" s="59"/>
      <c r="N8" s="59"/>
      <c r="O8" s="59"/>
      <c r="P8" s="59"/>
      <c r="Q8" s="59"/>
      <c r="R8" s="59"/>
      <c r="S8" s="59"/>
      <c r="T8" s="59"/>
      <c r="U8" s="59"/>
      <c r="V8" s="59"/>
      <c r="W8" s="59"/>
      <c r="X8" s="59"/>
      <c r="Y8" s="59"/>
      <c r="Z8" s="59"/>
    </row>
    <row r="9" spans="1:26" ht="14.4" x14ac:dyDescent="0.3">
      <c r="A9" s="117"/>
      <c r="B9" s="117"/>
      <c r="C9" s="124"/>
      <c r="D9" s="115" t="s">
        <v>93</v>
      </c>
      <c r="E9" s="122" t="s">
        <v>32</v>
      </c>
      <c r="F9" s="115"/>
      <c r="G9" s="59"/>
      <c r="H9" s="59"/>
      <c r="I9" s="59"/>
      <c r="J9" s="59"/>
      <c r="K9" s="59"/>
      <c r="L9" s="59"/>
      <c r="M9" s="59"/>
      <c r="N9" s="59"/>
      <c r="O9" s="59"/>
      <c r="P9" s="59"/>
      <c r="Q9" s="59"/>
      <c r="R9" s="59"/>
      <c r="S9" s="59"/>
      <c r="T9" s="59"/>
      <c r="U9" s="59"/>
      <c r="V9" s="59"/>
      <c r="W9" s="59"/>
      <c r="X9" s="59"/>
      <c r="Y9" s="59"/>
      <c r="Z9" s="59"/>
    </row>
    <row r="10" spans="1:26" ht="14.4" x14ac:dyDescent="0.3">
      <c r="A10" s="117"/>
      <c r="B10" s="117"/>
      <c r="C10" s="124"/>
      <c r="D10" s="115" t="s">
        <v>95</v>
      </c>
      <c r="E10" s="122" t="s">
        <v>32</v>
      </c>
      <c r="F10" s="115"/>
      <c r="G10" s="59"/>
      <c r="H10" s="59"/>
      <c r="I10" s="59"/>
      <c r="J10" s="59"/>
      <c r="K10" s="59"/>
      <c r="L10" s="59"/>
      <c r="M10" s="59"/>
      <c r="N10" s="59"/>
      <c r="O10" s="59"/>
      <c r="P10" s="59"/>
      <c r="Q10" s="59"/>
      <c r="R10" s="59"/>
      <c r="S10" s="59"/>
      <c r="T10" s="59"/>
      <c r="U10" s="59"/>
      <c r="V10" s="59"/>
      <c r="W10" s="59"/>
      <c r="X10" s="59"/>
      <c r="Y10" s="59"/>
      <c r="Z10" s="59"/>
    </row>
    <row r="11" spans="1:26" ht="14.4" x14ac:dyDescent="0.3">
      <c r="A11" s="117"/>
      <c r="B11" s="117"/>
      <c r="C11" s="124"/>
      <c r="D11" s="115" t="s">
        <v>92</v>
      </c>
      <c r="E11" s="122" t="s">
        <v>32</v>
      </c>
      <c r="F11" s="115"/>
      <c r="G11" s="59"/>
      <c r="H11" s="59"/>
      <c r="I11" s="59"/>
      <c r="J11" s="59"/>
      <c r="K11" s="59"/>
      <c r="L11" s="59"/>
      <c r="M11" s="59"/>
      <c r="N11" s="59"/>
      <c r="O11" s="59"/>
      <c r="P11" s="59"/>
      <c r="Q11" s="59"/>
      <c r="R11" s="59"/>
      <c r="S11" s="59"/>
      <c r="T11" s="59"/>
      <c r="U11" s="59"/>
      <c r="V11" s="59"/>
      <c r="W11" s="59"/>
      <c r="X11" s="59"/>
      <c r="Y11" s="59"/>
      <c r="Z11" s="59"/>
    </row>
    <row r="12" spans="1:26" ht="14.4" x14ac:dyDescent="0.3">
      <c r="A12" s="117"/>
      <c r="B12" s="117"/>
      <c r="C12" s="124"/>
      <c r="D12" s="115" t="s">
        <v>94</v>
      </c>
      <c r="E12" s="122" t="s">
        <v>32</v>
      </c>
      <c r="F12" s="115"/>
      <c r="G12" s="59"/>
      <c r="H12" s="59"/>
      <c r="I12" s="59"/>
      <c r="J12" s="59"/>
      <c r="K12" s="59"/>
      <c r="L12" s="59"/>
      <c r="M12" s="59"/>
      <c r="N12" s="59"/>
      <c r="O12" s="59"/>
      <c r="P12" s="59"/>
      <c r="Q12" s="59"/>
      <c r="R12" s="59"/>
      <c r="S12" s="59"/>
      <c r="T12" s="59"/>
      <c r="U12" s="59"/>
      <c r="V12" s="59"/>
      <c r="W12" s="59"/>
      <c r="X12" s="59"/>
      <c r="Y12" s="59"/>
      <c r="Z12" s="59"/>
    </row>
    <row r="13" spans="1:26" ht="14.4" x14ac:dyDescent="0.3">
      <c r="A13" s="117"/>
      <c r="B13" s="117"/>
      <c r="C13" s="124"/>
      <c r="D13" s="120" t="s">
        <v>99</v>
      </c>
      <c r="E13" s="123" t="s">
        <v>32</v>
      </c>
      <c r="F13" s="115"/>
      <c r="G13" s="59"/>
      <c r="H13" s="59"/>
      <c r="I13" s="59"/>
      <c r="J13" s="59"/>
      <c r="K13" s="59"/>
      <c r="L13" s="59"/>
      <c r="M13" s="59"/>
      <c r="N13" s="59"/>
      <c r="O13" s="59"/>
      <c r="P13" s="59"/>
      <c r="Q13" s="59"/>
      <c r="R13" s="59"/>
      <c r="S13" s="59"/>
      <c r="T13" s="59"/>
      <c r="U13" s="59"/>
      <c r="V13" s="59"/>
      <c r="W13" s="59"/>
      <c r="X13" s="59"/>
      <c r="Y13" s="59"/>
      <c r="Z13" s="59"/>
    </row>
    <row r="14" spans="1:26" ht="27" x14ac:dyDescent="0.3">
      <c r="A14" s="117"/>
      <c r="B14" s="117"/>
      <c r="C14" s="125" t="s">
        <v>96</v>
      </c>
      <c r="D14" s="120" t="s">
        <v>100</v>
      </c>
      <c r="E14" s="123" t="s">
        <v>32</v>
      </c>
      <c r="F14" s="115"/>
      <c r="G14" s="59"/>
      <c r="H14" s="59"/>
      <c r="I14" s="59"/>
      <c r="J14" s="59"/>
      <c r="K14" s="59"/>
      <c r="L14" s="59"/>
      <c r="M14" s="59"/>
      <c r="N14" s="59"/>
      <c r="O14" s="59"/>
      <c r="P14" s="59"/>
      <c r="Q14" s="59"/>
      <c r="R14" s="59"/>
      <c r="S14" s="59"/>
      <c r="T14" s="59"/>
      <c r="U14" s="59"/>
      <c r="V14" s="59"/>
      <c r="W14" s="59"/>
      <c r="X14" s="59"/>
      <c r="Y14" s="59"/>
      <c r="Z14" s="59"/>
    </row>
    <row r="15" spans="1:26" ht="26.4" x14ac:dyDescent="0.3">
      <c r="A15" s="117"/>
      <c r="B15" s="117"/>
      <c r="C15" s="116" t="s">
        <v>67</v>
      </c>
      <c r="D15" s="115" t="s">
        <v>65</v>
      </c>
      <c r="E15" s="122" t="s">
        <v>32</v>
      </c>
      <c r="F15" s="115"/>
      <c r="G15" s="59"/>
      <c r="H15" s="59"/>
      <c r="I15" s="59"/>
      <c r="J15" s="59"/>
      <c r="K15" s="59"/>
      <c r="L15" s="59"/>
      <c r="M15" s="59"/>
      <c r="N15" s="59"/>
      <c r="O15" s="59"/>
      <c r="P15" s="59"/>
      <c r="Q15" s="59"/>
      <c r="R15" s="59"/>
      <c r="S15" s="59"/>
      <c r="T15" s="59"/>
      <c r="U15" s="59"/>
      <c r="V15" s="59"/>
      <c r="W15" s="59"/>
      <c r="X15" s="59"/>
      <c r="Y15" s="59"/>
      <c r="Z15" s="59"/>
    </row>
    <row r="16" spans="1:26" ht="13.5" customHeight="1" x14ac:dyDescent="0.3">
      <c r="A16" s="60"/>
      <c r="B16" s="60"/>
      <c r="C16" s="117"/>
      <c r="E16" s="58"/>
      <c r="F16" s="57"/>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56"/>
      <c r="B17" s="114" t="s">
        <v>75</v>
      </c>
      <c r="C17" s="114" t="s">
        <v>101</v>
      </c>
      <c r="D17" s="115" t="s">
        <v>103</v>
      </c>
      <c r="E17" s="58" t="s">
        <v>32</v>
      </c>
      <c r="F17" s="57"/>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60"/>
      <c r="B18" s="60"/>
      <c r="C18" s="60"/>
      <c r="D18" s="115" t="s">
        <v>106</v>
      </c>
      <c r="E18" s="122" t="s">
        <v>32</v>
      </c>
      <c r="F18" s="57"/>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60"/>
      <c r="B19" s="60"/>
      <c r="C19" s="60"/>
      <c r="D19" s="124" t="s">
        <v>104</v>
      </c>
      <c r="E19" s="58" t="s">
        <v>33</v>
      </c>
      <c r="F19" s="57"/>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60"/>
      <c r="B20" s="119"/>
      <c r="C20" s="60"/>
      <c r="D20" s="124" t="s">
        <v>105</v>
      </c>
      <c r="E20" s="58"/>
      <c r="F20" s="57"/>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60"/>
      <c r="C21" s="116" t="s">
        <v>102</v>
      </c>
      <c r="D21" s="124" t="s">
        <v>107</v>
      </c>
      <c r="E21" s="58" t="s">
        <v>32</v>
      </c>
      <c r="F21" s="57"/>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60"/>
      <c r="C22" s="117"/>
      <c r="D22" s="124" t="s">
        <v>108</v>
      </c>
      <c r="E22" s="58" t="s">
        <v>32</v>
      </c>
      <c r="F22" s="57"/>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60"/>
      <c r="B23" s="60"/>
      <c r="C23" s="56"/>
      <c r="D23" s="124" t="s">
        <v>131</v>
      </c>
      <c r="E23" s="117" t="s">
        <v>32</v>
      </c>
      <c r="F23" s="57"/>
      <c r="G23" s="59"/>
      <c r="H23" s="59"/>
      <c r="I23" s="59"/>
      <c r="J23" s="59"/>
      <c r="K23" s="59"/>
      <c r="L23" s="59"/>
      <c r="M23" s="59"/>
      <c r="N23" s="59"/>
      <c r="O23" s="59"/>
      <c r="P23" s="59"/>
      <c r="Q23" s="59"/>
      <c r="R23" s="59"/>
      <c r="S23" s="59"/>
      <c r="T23" s="59"/>
      <c r="U23" s="59"/>
      <c r="V23" s="59"/>
      <c r="W23" s="59"/>
      <c r="X23" s="59"/>
      <c r="Y23" s="59"/>
      <c r="Z23" s="59"/>
    </row>
    <row r="24" spans="1:26" ht="13.5" customHeight="1" x14ac:dyDescent="0.3">
      <c r="A24" s="60"/>
      <c r="B24" s="60"/>
      <c r="C24" s="119"/>
      <c r="D24" s="124" t="s">
        <v>91</v>
      </c>
      <c r="E24" s="117" t="s">
        <v>32</v>
      </c>
      <c r="F24" s="57"/>
      <c r="G24" s="59"/>
      <c r="H24" s="59"/>
      <c r="I24" s="59"/>
      <c r="J24" s="59"/>
      <c r="K24" s="59"/>
      <c r="L24" s="59"/>
      <c r="M24" s="59"/>
      <c r="N24" s="59"/>
      <c r="O24" s="59"/>
      <c r="P24" s="59"/>
      <c r="Q24" s="59"/>
      <c r="R24" s="59"/>
      <c r="S24" s="59"/>
      <c r="T24" s="59"/>
      <c r="U24" s="59"/>
      <c r="V24" s="59"/>
      <c r="W24" s="59"/>
      <c r="X24" s="59"/>
      <c r="Y24" s="59"/>
      <c r="Z24" s="59"/>
    </row>
    <row r="25" spans="1:26" ht="13.5" customHeight="1" x14ac:dyDescent="0.3">
      <c r="A25" s="60"/>
      <c r="B25" s="60"/>
      <c r="C25" s="119"/>
      <c r="D25" s="115" t="s">
        <v>93</v>
      </c>
      <c r="E25" s="117" t="s">
        <v>32</v>
      </c>
      <c r="F25" s="57"/>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60"/>
      <c r="B26" s="60"/>
      <c r="C26" s="119"/>
      <c r="D26" s="115" t="s">
        <v>95</v>
      </c>
      <c r="E26" s="117" t="s">
        <v>32</v>
      </c>
      <c r="F26" s="57"/>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60"/>
      <c r="B27" s="60"/>
      <c r="C27" s="119"/>
      <c r="D27" s="115" t="s">
        <v>92</v>
      </c>
      <c r="E27" s="117" t="s">
        <v>32</v>
      </c>
      <c r="F27" s="57"/>
      <c r="G27" s="59"/>
      <c r="H27" s="59"/>
      <c r="I27" s="59"/>
      <c r="J27" s="59"/>
      <c r="K27" s="59"/>
      <c r="L27" s="59"/>
      <c r="M27" s="59"/>
      <c r="N27" s="59"/>
      <c r="O27" s="59"/>
      <c r="P27" s="59"/>
      <c r="Q27" s="59"/>
      <c r="R27" s="59"/>
      <c r="S27" s="59"/>
      <c r="T27" s="59"/>
      <c r="U27" s="59"/>
      <c r="V27" s="59"/>
      <c r="W27" s="59"/>
      <c r="X27" s="59"/>
      <c r="Y27" s="59"/>
      <c r="Z27" s="59"/>
    </row>
    <row r="28" spans="1:26" ht="13.5" customHeight="1" x14ac:dyDescent="0.3">
      <c r="A28" s="60"/>
      <c r="B28" s="60"/>
      <c r="C28" s="119"/>
      <c r="D28" s="115" t="s">
        <v>94</v>
      </c>
      <c r="E28" s="117" t="s">
        <v>32</v>
      </c>
      <c r="F28" s="57"/>
      <c r="G28" s="59"/>
      <c r="H28" s="59"/>
      <c r="I28" s="59"/>
      <c r="J28" s="59"/>
      <c r="K28" s="59"/>
      <c r="L28" s="59"/>
      <c r="M28" s="59"/>
      <c r="N28" s="59"/>
      <c r="O28" s="59"/>
      <c r="P28" s="59"/>
      <c r="Q28" s="59"/>
      <c r="R28" s="59"/>
      <c r="S28" s="59"/>
      <c r="T28" s="59"/>
      <c r="U28" s="59"/>
      <c r="V28" s="59"/>
      <c r="W28" s="59"/>
      <c r="X28" s="59"/>
      <c r="Y28" s="59"/>
      <c r="Z28" s="59"/>
    </row>
    <row r="29" spans="1:26" ht="13.5" customHeight="1" x14ac:dyDescent="0.3">
      <c r="A29" s="60"/>
      <c r="B29" s="60"/>
      <c r="C29" s="119"/>
      <c r="D29" s="120" t="s">
        <v>255</v>
      </c>
      <c r="E29" s="117" t="s">
        <v>32</v>
      </c>
      <c r="F29" s="57"/>
      <c r="G29" s="59"/>
      <c r="H29" s="59"/>
      <c r="I29" s="59"/>
      <c r="J29" s="59"/>
      <c r="K29" s="59"/>
      <c r="L29" s="59"/>
      <c r="M29" s="59"/>
      <c r="N29" s="59"/>
      <c r="O29" s="59"/>
      <c r="P29" s="59"/>
      <c r="Q29" s="59"/>
      <c r="R29" s="59"/>
      <c r="S29" s="59"/>
      <c r="T29" s="59"/>
      <c r="U29" s="59"/>
      <c r="V29" s="59"/>
      <c r="W29" s="59"/>
      <c r="X29" s="59"/>
      <c r="Y29" s="59"/>
      <c r="Z29" s="59"/>
    </row>
    <row r="30" spans="1:26" ht="27" x14ac:dyDescent="0.3">
      <c r="A30" s="60"/>
      <c r="B30" s="60"/>
      <c r="C30" s="125" t="s">
        <v>109</v>
      </c>
      <c r="D30" s="120" t="s">
        <v>100</v>
      </c>
      <c r="E30" s="123" t="s">
        <v>32</v>
      </c>
      <c r="F30" s="57"/>
      <c r="G30" s="59"/>
      <c r="H30" s="59"/>
      <c r="I30" s="59"/>
      <c r="J30" s="59"/>
      <c r="K30" s="59"/>
      <c r="L30" s="59"/>
      <c r="M30" s="59"/>
      <c r="N30" s="59"/>
      <c r="O30" s="59"/>
      <c r="P30" s="59"/>
      <c r="Q30" s="59"/>
      <c r="R30" s="59"/>
      <c r="S30" s="59"/>
      <c r="T30" s="59"/>
      <c r="U30" s="59"/>
      <c r="V30" s="59"/>
      <c r="W30" s="59"/>
      <c r="X30" s="59"/>
      <c r="Y30" s="59"/>
      <c r="Z30" s="59"/>
    </row>
    <row r="31" spans="1:26" ht="26.4" x14ac:dyDescent="0.3">
      <c r="A31" s="60"/>
      <c r="B31" s="117" t="s">
        <v>76</v>
      </c>
      <c r="C31" s="117" t="s">
        <v>110</v>
      </c>
      <c r="D31" s="115" t="s">
        <v>111</v>
      </c>
      <c r="E31" s="122" t="s">
        <v>33</v>
      </c>
      <c r="F31" s="57"/>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60"/>
      <c r="B32" s="60"/>
      <c r="C32" s="60"/>
      <c r="D32" s="115" t="s">
        <v>112</v>
      </c>
      <c r="E32" s="122" t="s">
        <v>32</v>
      </c>
      <c r="F32" s="57"/>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60"/>
      <c r="B33" s="60"/>
      <c r="C33" s="60"/>
      <c r="D33" s="115" t="s">
        <v>113</v>
      </c>
      <c r="E33" s="122" t="s">
        <v>33</v>
      </c>
      <c r="F33" s="57"/>
      <c r="G33" s="59"/>
      <c r="H33" s="59"/>
      <c r="I33" s="59"/>
      <c r="J33" s="59"/>
      <c r="K33" s="59"/>
      <c r="L33" s="59"/>
      <c r="M33" s="59"/>
      <c r="N33" s="59"/>
      <c r="O33" s="59"/>
      <c r="P33" s="59"/>
      <c r="Q33" s="59"/>
      <c r="R33" s="59"/>
      <c r="S33" s="59"/>
      <c r="T33" s="59"/>
      <c r="U33" s="59"/>
      <c r="V33" s="59"/>
      <c r="W33" s="59"/>
      <c r="X33" s="59"/>
      <c r="Y33" s="59"/>
      <c r="Z33" s="59"/>
    </row>
    <row r="34" spans="1:26" ht="26.4" x14ac:dyDescent="0.3">
      <c r="A34" s="60"/>
      <c r="B34" s="60"/>
      <c r="C34" s="117" t="s">
        <v>114</v>
      </c>
      <c r="D34" s="115" t="s">
        <v>139</v>
      </c>
      <c r="E34" s="122" t="s">
        <v>32</v>
      </c>
      <c r="F34" s="57"/>
      <c r="G34" s="59"/>
      <c r="H34" s="59"/>
      <c r="I34" s="59"/>
      <c r="J34" s="59"/>
      <c r="K34" s="59"/>
      <c r="L34" s="59"/>
      <c r="M34" s="59"/>
      <c r="N34" s="59"/>
      <c r="O34" s="59"/>
      <c r="P34" s="59"/>
      <c r="Q34" s="59"/>
      <c r="R34" s="59"/>
      <c r="S34" s="59"/>
      <c r="T34" s="59"/>
      <c r="U34" s="59"/>
      <c r="V34" s="59"/>
      <c r="W34" s="59"/>
      <c r="X34" s="59"/>
      <c r="Y34" s="59"/>
      <c r="Z34" s="59"/>
    </row>
    <row r="35" spans="1:26" ht="26.4" x14ac:dyDescent="0.3">
      <c r="A35" s="60"/>
      <c r="B35" s="60"/>
      <c r="C35" s="116" t="s">
        <v>144</v>
      </c>
      <c r="D35" s="115" t="s">
        <v>146</v>
      </c>
      <c r="E35" s="122" t="s">
        <v>32</v>
      </c>
      <c r="F35" s="57"/>
      <c r="G35" s="59"/>
      <c r="H35" s="59"/>
      <c r="I35" s="59"/>
      <c r="J35" s="59"/>
      <c r="K35" s="59"/>
      <c r="L35" s="59"/>
      <c r="M35" s="59"/>
      <c r="N35" s="59"/>
      <c r="O35" s="59"/>
      <c r="P35" s="59"/>
      <c r="Q35" s="59"/>
      <c r="R35" s="59"/>
      <c r="S35" s="59"/>
      <c r="T35" s="59"/>
      <c r="U35" s="59"/>
      <c r="V35" s="59"/>
      <c r="W35" s="59"/>
      <c r="X35" s="59"/>
      <c r="Y35" s="59"/>
      <c r="Z35" s="59"/>
    </row>
    <row r="36" spans="1:26" ht="13.5" customHeight="1" x14ac:dyDescent="0.3">
      <c r="A36" s="60"/>
      <c r="B36" s="60"/>
      <c r="C36" s="117"/>
      <c r="D36" s="115" t="s">
        <v>147</v>
      </c>
      <c r="E36" s="122" t="s">
        <v>32</v>
      </c>
      <c r="F36" s="57"/>
      <c r="G36" s="59"/>
      <c r="H36" s="59"/>
      <c r="I36" s="59"/>
      <c r="J36" s="59"/>
      <c r="K36" s="59"/>
      <c r="L36" s="59"/>
      <c r="M36" s="59"/>
      <c r="N36" s="59"/>
      <c r="O36" s="59"/>
      <c r="P36" s="59"/>
      <c r="Q36" s="59"/>
      <c r="R36" s="59"/>
      <c r="S36" s="59"/>
      <c r="T36" s="59"/>
      <c r="U36" s="59"/>
      <c r="V36" s="59"/>
      <c r="W36" s="59"/>
      <c r="X36" s="59"/>
      <c r="Y36" s="59"/>
      <c r="Z36" s="59"/>
    </row>
    <row r="37" spans="1:26" ht="26.4" x14ac:dyDescent="0.3">
      <c r="A37" s="60"/>
      <c r="B37" s="60"/>
      <c r="C37" s="114" t="s">
        <v>145</v>
      </c>
      <c r="D37" s="115" t="s">
        <v>148</v>
      </c>
      <c r="E37" s="122" t="s">
        <v>32</v>
      </c>
      <c r="F37" s="57"/>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60"/>
      <c r="B38" s="60"/>
      <c r="C38" s="117" t="s">
        <v>256</v>
      </c>
      <c r="D38" s="115" t="s">
        <v>257</v>
      </c>
      <c r="E38" s="122" t="s">
        <v>32</v>
      </c>
      <c r="F38" s="57"/>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60"/>
      <c r="B39" s="60"/>
      <c r="C39" s="60"/>
      <c r="D39" s="115" t="s">
        <v>258</v>
      </c>
      <c r="E39" s="122" t="s">
        <v>32</v>
      </c>
      <c r="F39" s="57"/>
      <c r="G39" s="59"/>
      <c r="H39" s="59"/>
      <c r="I39" s="59"/>
      <c r="J39" s="59"/>
      <c r="K39" s="59"/>
      <c r="L39" s="59"/>
      <c r="M39" s="59"/>
      <c r="N39" s="59"/>
      <c r="O39" s="59"/>
      <c r="P39" s="59"/>
      <c r="Q39" s="59"/>
      <c r="R39" s="59"/>
      <c r="S39" s="59"/>
      <c r="T39" s="59"/>
      <c r="U39" s="59"/>
      <c r="V39" s="59"/>
      <c r="W39" s="59"/>
      <c r="X39" s="59"/>
      <c r="Y39" s="59"/>
      <c r="Z39" s="59"/>
    </row>
    <row r="40" spans="1:26" ht="13.5" customHeight="1" x14ac:dyDescent="0.3">
      <c r="A40" s="60"/>
      <c r="B40" s="60"/>
      <c r="C40" s="60"/>
      <c r="D40" s="115" t="s">
        <v>259</v>
      </c>
      <c r="E40" s="122" t="s">
        <v>32</v>
      </c>
      <c r="F40" s="57"/>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60"/>
      <c r="B41" s="60"/>
      <c r="C41" s="61"/>
      <c r="D41" s="57"/>
      <c r="E41" s="58"/>
      <c r="F41" s="57"/>
      <c r="G41" s="59"/>
      <c r="H41" s="59"/>
      <c r="I41" s="59"/>
      <c r="J41" s="59"/>
      <c r="K41" s="59"/>
      <c r="L41" s="59"/>
      <c r="M41" s="59"/>
      <c r="N41" s="59"/>
      <c r="O41" s="59"/>
      <c r="P41" s="59"/>
      <c r="Q41" s="59"/>
      <c r="R41" s="59"/>
      <c r="S41" s="59"/>
      <c r="T41" s="59"/>
      <c r="U41" s="59"/>
      <c r="V41" s="59"/>
      <c r="W41" s="59"/>
      <c r="X41" s="59"/>
      <c r="Y41" s="59"/>
      <c r="Z41" s="59"/>
    </row>
    <row r="42" spans="1:26" ht="27.75" customHeight="1" x14ac:dyDescent="0.3">
      <c r="A42" s="60"/>
      <c r="B42" s="60"/>
      <c r="C42" s="56"/>
      <c r="D42" s="57"/>
      <c r="E42" s="58"/>
      <c r="F42" s="57"/>
      <c r="G42" s="59"/>
      <c r="H42" s="59"/>
      <c r="I42" s="59"/>
      <c r="J42" s="59"/>
      <c r="K42" s="59"/>
      <c r="L42" s="59"/>
      <c r="M42" s="59"/>
      <c r="N42" s="59"/>
      <c r="O42" s="59"/>
      <c r="P42" s="59"/>
      <c r="Q42" s="59"/>
      <c r="R42" s="59"/>
      <c r="S42" s="59"/>
      <c r="T42" s="59"/>
      <c r="U42" s="59"/>
      <c r="V42" s="59"/>
      <c r="W42" s="59"/>
      <c r="X42" s="59"/>
      <c r="Y42" s="59"/>
      <c r="Z42" s="59"/>
    </row>
    <row r="43" spans="1:26" ht="27.75" customHeight="1" x14ac:dyDescent="0.3">
      <c r="A43" s="60"/>
      <c r="B43" s="60"/>
      <c r="C43" s="60"/>
      <c r="D43" s="57"/>
      <c r="E43" s="58"/>
      <c r="F43" s="57"/>
      <c r="G43" s="59"/>
      <c r="H43" s="59"/>
      <c r="I43" s="59"/>
      <c r="J43" s="59"/>
      <c r="K43" s="59"/>
      <c r="L43" s="59"/>
      <c r="M43" s="59"/>
      <c r="N43" s="59"/>
      <c r="O43" s="59"/>
      <c r="P43" s="59"/>
      <c r="Q43" s="59"/>
      <c r="R43" s="59"/>
      <c r="S43" s="59"/>
      <c r="T43" s="59"/>
      <c r="U43" s="59"/>
      <c r="V43" s="59"/>
      <c r="W43" s="59"/>
      <c r="X43" s="59"/>
      <c r="Y43" s="59"/>
      <c r="Z43" s="59"/>
    </row>
    <row r="44" spans="1:26" ht="13.5" customHeight="1" x14ac:dyDescent="0.3">
      <c r="A44" s="60"/>
      <c r="B44" s="60"/>
      <c r="C44" s="60"/>
      <c r="D44" s="57"/>
      <c r="E44" s="58"/>
      <c r="F44" s="57"/>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60"/>
      <c r="B45" s="60"/>
      <c r="C45" s="61"/>
      <c r="D45" s="57"/>
      <c r="E45" s="58"/>
      <c r="F45" s="57"/>
      <c r="G45" s="59"/>
      <c r="H45" s="59"/>
      <c r="I45" s="59"/>
      <c r="J45" s="59"/>
      <c r="K45" s="59"/>
      <c r="L45" s="59"/>
      <c r="M45" s="59"/>
      <c r="N45" s="59"/>
      <c r="O45" s="59"/>
      <c r="P45" s="59"/>
      <c r="Q45" s="59"/>
      <c r="R45" s="59"/>
      <c r="S45" s="59"/>
      <c r="T45" s="59"/>
      <c r="U45" s="59"/>
      <c r="V45" s="59"/>
      <c r="W45" s="59"/>
      <c r="X45" s="59"/>
      <c r="Y45" s="59"/>
      <c r="Z45" s="59"/>
    </row>
    <row r="46" spans="1:26" ht="27.75" customHeight="1" x14ac:dyDescent="0.3">
      <c r="A46" s="60"/>
      <c r="B46" s="60"/>
      <c r="C46" s="56"/>
      <c r="D46" s="57"/>
      <c r="E46" s="58"/>
      <c r="F46" s="57"/>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60"/>
      <c r="B47" s="60"/>
      <c r="C47" s="60"/>
      <c r="D47" s="57"/>
      <c r="E47" s="58"/>
      <c r="F47" s="57"/>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1"/>
      <c r="C48" s="61"/>
      <c r="D48" s="57"/>
      <c r="E48" s="58"/>
      <c r="F48" s="57"/>
      <c r="G48" s="59"/>
      <c r="H48" s="59"/>
      <c r="I48" s="59"/>
      <c r="J48" s="59"/>
      <c r="K48" s="59"/>
      <c r="L48" s="59"/>
      <c r="M48" s="59"/>
      <c r="N48" s="59"/>
      <c r="O48" s="59"/>
      <c r="P48" s="59"/>
      <c r="Q48" s="59"/>
      <c r="R48" s="59"/>
      <c r="S48" s="59"/>
      <c r="T48" s="59"/>
      <c r="U48" s="59"/>
      <c r="V48" s="59"/>
      <c r="W48" s="59"/>
      <c r="X48" s="59"/>
      <c r="Y48" s="59"/>
      <c r="Z48" s="59"/>
    </row>
    <row r="49" spans="1:26" ht="27.75" customHeight="1" x14ac:dyDescent="0.3">
      <c r="A49" s="60"/>
      <c r="B49" s="114"/>
      <c r="C49" s="56"/>
      <c r="D49" s="57"/>
      <c r="E49" s="57"/>
      <c r="F49" s="57"/>
      <c r="G49" s="59"/>
      <c r="H49" s="59"/>
      <c r="I49" s="59"/>
      <c r="J49" s="59"/>
      <c r="K49" s="59"/>
      <c r="L49" s="59"/>
      <c r="M49" s="59"/>
      <c r="N49" s="59"/>
      <c r="O49" s="59"/>
      <c r="P49" s="59"/>
      <c r="Q49" s="59"/>
      <c r="R49" s="59"/>
      <c r="S49" s="59"/>
      <c r="T49" s="59"/>
      <c r="U49" s="59"/>
      <c r="V49" s="59"/>
      <c r="W49" s="59"/>
      <c r="X49" s="59"/>
      <c r="Y49" s="59"/>
      <c r="Z49" s="59"/>
    </row>
    <row r="50" spans="1:26" ht="13.5" customHeight="1" x14ac:dyDescent="0.3">
      <c r="A50" s="60"/>
      <c r="B50" s="60"/>
      <c r="C50" s="60"/>
      <c r="D50" s="57"/>
      <c r="E50" s="57"/>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7"/>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7"/>
      <c r="F52" s="57"/>
      <c r="G52" s="59"/>
      <c r="H52" s="59"/>
      <c r="I52" s="59"/>
      <c r="J52" s="59"/>
      <c r="K52" s="59"/>
      <c r="L52" s="59"/>
      <c r="M52" s="59"/>
      <c r="N52" s="59"/>
      <c r="O52" s="59"/>
      <c r="P52" s="59"/>
      <c r="Q52" s="59"/>
      <c r="R52" s="59"/>
      <c r="S52" s="59"/>
      <c r="T52" s="59"/>
      <c r="U52" s="59"/>
      <c r="V52" s="59"/>
      <c r="W52" s="59"/>
      <c r="X52" s="59"/>
      <c r="Y52" s="59"/>
      <c r="Z52" s="59"/>
    </row>
    <row r="53" spans="1:26" ht="13.5" customHeight="1" x14ac:dyDescent="0.3">
      <c r="A53" s="60"/>
      <c r="B53" s="60"/>
      <c r="C53" s="56"/>
      <c r="D53" s="57"/>
      <c r="E53" s="57"/>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60"/>
      <c r="D54" s="57"/>
      <c r="E54" s="57"/>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0"/>
      <c r="C55" s="60"/>
      <c r="D55" s="57"/>
      <c r="E55" s="57"/>
      <c r="F55" s="57"/>
      <c r="G55" s="59"/>
      <c r="H55" s="59"/>
      <c r="I55" s="59"/>
      <c r="J55" s="59"/>
      <c r="K55" s="59"/>
      <c r="L55" s="59"/>
      <c r="M55" s="59"/>
      <c r="N55" s="59"/>
      <c r="O55" s="59"/>
      <c r="P55" s="59"/>
      <c r="Q55" s="59"/>
      <c r="R55" s="59"/>
      <c r="S55" s="59"/>
      <c r="T55" s="59"/>
      <c r="U55" s="59"/>
      <c r="V55" s="59"/>
      <c r="W55" s="59"/>
      <c r="X55" s="59"/>
      <c r="Y55" s="59"/>
      <c r="Z55" s="59"/>
    </row>
    <row r="56" spans="1:26" ht="13.5" customHeight="1" x14ac:dyDescent="0.3">
      <c r="A56" s="60"/>
      <c r="B56" s="60"/>
      <c r="C56" s="60"/>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60"/>
      <c r="D57" s="57"/>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1"/>
      <c r="D58" s="57"/>
      <c r="E58" s="57"/>
      <c r="F58" s="57"/>
      <c r="G58" s="59"/>
      <c r="H58" s="59"/>
      <c r="I58" s="59"/>
      <c r="J58" s="59"/>
      <c r="K58" s="59"/>
      <c r="L58" s="59"/>
      <c r="M58" s="59"/>
      <c r="N58" s="59"/>
      <c r="O58" s="59"/>
      <c r="P58" s="59"/>
      <c r="Q58" s="59"/>
      <c r="R58" s="59"/>
      <c r="S58" s="59"/>
      <c r="T58" s="59"/>
      <c r="U58" s="59"/>
      <c r="V58" s="59"/>
      <c r="W58" s="59"/>
      <c r="X58" s="59"/>
      <c r="Y58" s="59"/>
      <c r="Z58" s="59"/>
    </row>
    <row r="59" spans="1:26" ht="27.75" customHeight="1" x14ac:dyDescent="0.3">
      <c r="A59" s="60"/>
      <c r="B59" s="60"/>
      <c r="C59" s="58"/>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56"/>
      <c r="D60" s="62"/>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60"/>
      <c r="D61" s="57"/>
      <c r="E61" s="57"/>
      <c r="F61" s="57"/>
      <c r="G61" s="59"/>
      <c r="H61" s="59"/>
      <c r="I61" s="59"/>
      <c r="J61" s="59"/>
      <c r="K61" s="59"/>
      <c r="L61" s="59"/>
      <c r="M61" s="59"/>
      <c r="N61" s="59"/>
      <c r="O61" s="59"/>
      <c r="P61" s="59"/>
      <c r="Q61" s="59"/>
      <c r="R61" s="59"/>
      <c r="S61" s="59"/>
      <c r="T61" s="59"/>
      <c r="U61" s="59"/>
      <c r="V61" s="59"/>
      <c r="W61" s="59"/>
      <c r="X61" s="59"/>
      <c r="Y61" s="59"/>
      <c r="Z61" s="59"/>
    </row>
    <row r="62" spans="1:26" ht="27.75" customHeight="1" x14ac:dyDescent="0.3">
      <c r="A62" s="60"/>
      <c r="B62" s="60"/>
      <c r="C62" s="61"/>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56"/>
      <c r="D63" s="62"/>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60"/>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60"/>
      <c r="D65" s="57"/>
      <c r="E65" s="57"/>
      <c r="F65" s="57"/>
      <c r="G65" s="59"/>
      <c r="H65" s="59"/>
      <c r="I65" s="59"/>
      <c r="J65" s="59"/>
      <c r="K65" s="59"/>
      <c r="L65" s="59"/>
      <c r="M65" s="59"/>
      <c r="N65" s="59"/>
      <c r="O65" s="59"/>
      <c r="P65" s="59"/>
      <c r="Q65" s="59"/>
      <c r="R65" s="59"/>
      <c r="S65" s="59"/>
      <c r="T65" s="59"/>
      <c r="U65" s="59"/>
      <c r="V65" s="59"/>
      <c r="W65" s="59"/>
      <c r="X65" s="59"/>
      <c r="Y65" s="59"/>
      <c r="Z65" s="59"/>
    </row>
    <row r="66" spans="1:26" ht="13.5" customHeight="1" x14ac:dyDescent="0.3">
      <c r="A66" s="60"/>
      <c r="B66" s="60"/>
      <c r="C66" s="61"/>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57"/>
      <c r="E67" s="57"/>
      <c r="F67" s="57"/>
      <c r="G67" s="59"/>
      <c r="H67" s="59"/>
      <c r="I67" s="59"/>
      <c r="J67" s="59"/>
      <c r="K67" s="59"/>
      <c r="L67" s="59"/>
      <c r="M67" s="59"/>
      <c r="N67" s="59"/>
      <c r="O67" s="59"/>
      <c r="P67" s="59"/>
      <c r="Q67" s="59"/>
      <c r="R67" s="59"/>
      <c r="S67" s="59"/>
      <c r="T67" s="59"/>
      <c r="U67" s="59"/>
      <c r="V67" s="59"/>
      <c r="W67" s="59"/>
      <c r="X67" s="59"/>
      <c r="Y67" s="59"/>
      <c r="Z67" s="59"/>
    </row>
    <row r="68" spans="1:26" ht="13.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13.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13.5" customHeight="1" x14ac:dyDescent="0.3">
      <c r="A70" s="60"/>
      <c r="B70" s="60"/>
      <c r="C70" s="58"/>
      <c r="D70" s="57"/>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56"/>
      <c r="D71" s="57"/>
      <c r="E71" s="57"/>
      <c r="F71" s="57"/>
      <c r="G71" s="59"/>
      <c r="H71" s="59"/>
      <c r="I71" s="59"/>
      <c r="J71" s="59"/>
      <c r="K71" s="59"/>
      <c r="L71" s="59"/>
      <c r="M71" s="59"/>
      <c r="N71" s="59"/>
      <c r="O71" s="59"/>
      <c r="P71" s="59"/>
      <c r="Q71" s="59"/>
      <c r="R71" s="59"/>
      <c r="S71" s="59"/>
      <c r="T71" s="59"/>
      <c r="U71" s="59"/>
      <c r="V71" s="59"/>
      <c r="W71" s="59"/>
      <c r="X71" s="59"/>
      <c r="Y71" s="59"/>
      <c r="Z71" s="59"/>
    </row>
    <row r="72" spans="1:26" ht="15" customHeight="1" x14ac:dyDescent="0.3">
      <c r="A72" s="60"/>
      <c r="B72" s="60"/>
      <c r="C72" s="61"/>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0"/>
      <c r="B73" s="60"/>
      <c r="C73" s="56"/>
      <c r="D73" s="57"/>
      <c r="E73" s="57"/>
      <c r="F73" s="57"/>
      <c r="G73" s="59"/>
      <c r="H73" s="59"/>
      <c r="I73" s="59"/>
      <c r="J73" s="59"/>
      <c r="K73" s="59"/>
      <c r="L73" s="59"/>
      <c r="M73" s="59"/>
      <c r="N73" s="59"/>
      <c r="O73" s="59"/>
      <c r="P73" s="59"/>
      <c r="Q73" s="59"/>
      <c r="R73" s="59"/>
      <c r="S73" s="59"/>
      <c r="T73" s="59"/>
      <c r="U73" s="59"/>
      <c r="V73" s="59"/>
      <c r="W73" s="59"/>
      <c r="X73" s="59"/>
      <c r="Y73" s="59"/>
      <c r="Z73" s="59"/>
    </row>
    <row r="74" spans="1:26" ht="15" customHeight="1" x14ac:dyDescent="0.3">
      <c r="A74" s="60"/>
      <c r="B74" s="60"/>
      <c r="C74" s="60"/>
      <c r="D74" s="57"/>
      <c r="E74" s="57"/>
      <c r="F74" s="57"/>
      <c r="G74" s="59"/>
      <c r="H74" s="59"/>
      <c r="I74" s="59"/>
      <c r="J74" s="59"/>
      <c r="K74" s="59"/>
      <c r="L74" s="59"/>
      <c r="M74" s="59"/>
      <c r="N74" s="59"/>
      <c r="O74" s="59"/>
      <c r="P74" s="59"/>
      <c r="Q74" s="59"/>
      <c r="R74" s="59"/>
      <c r="S74" s="59"/>
      <c r="T74" s="59"/>
      <c r="U74" s="59"/>
      <c r="V74" s="59"/>
      <c r="W74" s="59"/>
      <c r="X74" s="59"/>
      <c r="Y74" s="59"/>
      <c r="Z74" s="59"/>
    </row>
    <row r="75" spans="1:26" ht="15" customHeight="1" x14ac:dyDescent="0.3">
      <c r="A75" s="60"/>
      <c r="B75" s="60"/>
      <c r="C75" s="61"/>
      <c r="D75" s="57"/>
      <c r="E75" s="57"/>
      <c r="F75" s="57"/>
      <c r="G75" s="59"/>
      <c r="H75" s="59"/>
      <c r="I75" s="59"/>
      <c r="J75" s="59"/>
      <c r="K75" s="59"/>
      <c r="L75" s="59"/>
      <c r="M75" s="59"/>
      <c r="N75" s="59"/>
      <c r="O75" s="59"/>
      <c r="P75" s="59"/>
      <c r="Q75" s="59"/>
      <c r="R75" s="59"/>
      <c r="S75" s="59"/>
      <c r="T75" s="59"/>
      <c r="U75" s="59"/>
      <c r="V75" s="59"/>
      <c r="W75" s="59"/>
      <c r="X75" s="59"/>
      <c r="Y75" s="59"/>
      <c r="Z75" s="59"/>
    </row>
    <row r="76" spans="1:26" ht="27.75" customHeight="1" x14ac:dyDescent="0.3">
      <c r="A76" s="60"/>
      <c r="B76" s="60"/>
      <c r="C76" s="56"/>
      <c r="D76" s="57"/>
      <c r="E76" s="57"/>
      <c r="F76" s="57"/>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0"/>
      <c r="B77" s="60"/>
      <c r="C77" s="60"/>
      <c r="D77" s="57"/>
      <c r="E77" s="57"/>
      <c r="F77" s="57"/>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0"/>
      <c r="B78" s="61"/>
      <c r="C78" s="61"/>
      <c r="D78" s="57"/>
      <c r="E78" s="57"/>
      <c r="F78" s="57"/>
      <c r="G78" s="59"/>
      <c r="H78" s="59"/>
      <c r="I78" s="59"/>
      <c r="J78" s="59"/>
      <c r="K78" s="59"/>
      <c r="L78" s="59"/>
      <c r="M78" s="59"/>
      <c r="N78" s="59"/>
      <c r="O78" s="59"/>
      <c r="P78" s="59"/>
      <c r="Q78" s="59"/>
      <c r="R78" s="59"/>
      <c r="S78" s="59"/>
      <c r="T78" s="59"/>
      <c r="U78" s="59"/>
      <c r="V78" s="59"/>
      <c r="W78" s="59"/>
      <c r="X78" s="59"/>
      <c r="Y78" s="59"/>
      <c r="Z78" s="59"/>
    </row>
    <row r="79" spans="1:26" ht="13.5" customHeight="1" x14ac:dyDescent="0.3">
      <c r="A79" s="63"/>
      <c r="B79" s="63"/>
      <c r="C79" s="63"/>
      <c r="D79" s="64"/>
      <c r="E79" s="63"/>
      <c r="F79" s="64"/>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3"/>
      <c r="B80" s="63"/>
      <c r="C80" s="63"/>
      <c r="D80" s="64"/>
      <c r="E80" s="63"/>
      <c r="F80" s="64"/>
      <c r="G80" s="59"/>
      <c r="H80" s="59"/>
      <c r="I80" s="59"/>
      <c r="J80" s="59"/>
      <c r="K80" s="59"/>
      <c r="L80" s="59"/>
      <c r="M80" s="59"/>
      <c r="N80" s="59"/>
      <c r="O80" s="59"/>
      <c r="P80" s="59"/>
      <c r="Q80" s="59"/>
      <c r="R80" s="59"/>
      <c r="S80" s="59"/>
      <c r="T80" s="59"/>
      <c r="U80" s="59"/>
      <c r="V80" s="59"/>
      <c r="W80" s="59"/>
      <c r="X80" s="59"/>
      <c r="Y80" s="59"/>
      <c r="Z80" s="59"/>
    </row>
    <row r="81" spans="1:26" ht="13.5" customHeight="1" x14ac:dyDescent="0.3">
      <c r="A81" s="63"/>
      <c r="B81" s="63"/>
      <c r="C81" s="63"/>
      <c r="D81" s="64"/>
      <c r="E81" s="63"/>
      <c r="F81" s="64"/>
      <c r="G81" s="59"/>
      <c r="H81" s="59"/>
      <c r="I81" s="59"/>
      <c r="J81" s="59"/>
      <c r="K81" s="59"/>
      <c r="L81" s="59"/>
      <c r="M81" s="59"/>
      <c r="N81" s="59"/>
      <c r="O81" s="59"/>
      <c r="P81" s="59"/>
      <c r="Q81" s="59"/>
      <c r="R81" s="59"/>
      <c r="S81" s="59"/>
      <c r="T81" s="59"/>
      <c r="U81" s="59"/>
      <c r="V81" s="59"/>
      <c r="W81" s="59"/>
      <c r="X81" s="59"/>
      <c r="Y81" s="59"/>
      <c r="Z81" s="59"/>
    </row>
    <row r="82" spans="1:26" ht="13.5" customHeight="1" x14ac:dyDescent="0.3">
      <c r="A82" s="63"/>
      <c r="B82" s="63"/>
      <c r="C82" s="63"/>
      <c r="D82" s="64"/>
      <c r="E82" s="63"/>
      <c r="F82" s="64"/>
      <c r="G82" s="59"/>
      <c r="H82" s="59"/>
      <c r="I82" s="59"/>
      <c r="J82" s="59"/>
      <c r="K82" s="59"/>
      <c r="L82" s="59"/>
      <c r="M82" s="59"/>
      <c r="N82" s="59"/>
      <c r="O82" s="59"/>
      <c r="P82" s="59"/>
      <c r="Q82" s="59"/>
      <c r="R82" s="59"/>
      <c r="S82" s="59"/>
      <c r="T82" s="59"/>
      <c r="U82" s="59"/>
      <c r="V82" s="59"/>
      <c r="W82" s="59"/>
      <c r="X82" s="59"/>
      <c r="Y82" s="59"/>
      <c r="Z82" s="59"/>
    </row>
    <row r="83" spans="1:26" ht="13.5" customHeight="1" x14ac:dyDescent="0.3">
      <c r="A83" s="63"/>
      <c r="B83" s="63"/>
      <c r="C83" s="63"/>
      <c r="D83" s="64"/>
      <c r="E83" s="63"/>
      <c r="F83" s="64"/>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3"/>
      <c r="B84" s="63"/>
      <c r="C84" s="63"/>
      <c r="D84" s="64"/>
      <c r="E84" s="63"/>
      <c r="F84" s="64"/>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3"/>
      <c r="B85" s="63"/>
      <c r="C85" s="63"/>
      <c r="D85" s="64"/>
      <c r="E85" s="63"/>
      <c r="F85" s="64"/>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row r="202" spans="1:26" ht="13.5" customHeight="1" x14ac:dyDescent="0.3">
      <c r="A202" s="63"/>
      <c r="B202" s="63"/>
      <c r="C202" s="63"/>
      <c r="D202" s="64"/>
      <c r="E202" s="63"/>
      <c r="F202" s="64"/>
      <c r="G202" s="59"/>
      <c r="H202" s="59"/>
      <c r="I202" s="59"/>
      <c r="J202" s="59"/>
      <c r="K202" s="59"/>
      <c r="L202" s="59"/>
      <c r="M202" s="59"/>
      <c r="N202" s="59"/>
      <c r="O202" s="59"/>
      <c r="P202" s="59"/>
      <c r="Q202" s="59"/>
      <c r="R202" s="59"/>
      <c r="S202" s="59"/>
      <c r="T202" s="59"/>
      <c r="U202" s="59"/>
      <c r="V202" s="59"/>
      <c r="W202" s="59"/>
      <c r="X202" s="59"/>
      <c r="Y202" s="59"/>
      <c r="Z202" s="59"/>
    </row>
    <row r="203" spans="1:26" ht="13.5" customHeight="1" x14ac:dyDescent="0.3">
      <c r="A203" s="63"/>
      <c r="B203" s="63"/>
      <c r="C203" s="63"/>
      <c r="D203" s="64"/>
      <c r="E203" s="63"/>
      <c r="F203" s="64"/>
      <c r="G203" s="59"/>
      <c r="H203" s="59"/>
      <c r="I203" s="59"/>
      <c r="J203" s="59"/>
      <c r="K203" s="59"/>
      <c r="L203" s="59"/>
      <c r="M203" s="59"/>
      <c r="N203" s="59"/>
      <c r="O203" s="59"/>
      <c r="P203" s="59"/>
      <c r="Q203" s="59"/>
      <c r="R203" s="59"/>
      <c r="S203" s="59"/>
      <c r="T203" s="59"/>
      <c r="U203" s="59"/>
      <c r="V203" s="59"/>
      <c r="W203" s="59"/>
      <c r="X203" s="59"/>
      <c r="Y203" s="59"/>
      <c r="Z203" s="59"/>
    </row>
    <row r="204" spans="1:26" ht="13.5" customHeight="1" x14ac:dyDescent="0.3">
      <c r="A204" s="63"/>
      <c r="B204" s="63"/>
      <c r="C204" s="63"/>
      <c r="D204" s="64"/>
      <c r="E204" s="63"/>
      <c r="F204" s="64"/>
      <c r="G204" s="59"/>
      <c r="H204" s="59"/>
      <c r="I204" s="59"/>
      <c r="J204" s="59"/>
      <c r="K204" s="59"/>
      <c r="L204" s="59"/>
      <c r="M204" s="59"/>
      <c r="N204" s="59"/>
      <c r="O204" s="59"/>
      <c r="P204" s="59"/>
      <c r="Q204" s="59"/>
      <c r="R204" s="59"/>
      <c r="S204" s="59"/>
      <c r="T204" s="59"/>
      <c r="U204" s="59"/>
      <c r="V204" s="59"/>
      <c r="W204" s="59"/>
      <c r="X204" s="59"/>
      <c r="Y204" s="59"/>
      <c r="Z204" s="59"/>
    </row>
    <row r="205" spans="1:26" ht="13.5" customHeight="1" x14ac:dyDescent="0.3">
      <c r="A205" s="63"/>
      <c r="B205" s="63"/>
      <c r="C205" s="63"/>
      <c r="D205" s="64"/>
      <c r="E205" s="63"/>
      <c r="F205" s="64"/>
      <c r="G205" s="59"/>
      <c r="H205" s="59"/>
      <c r="I205" s="59"/>
      <c r="J205" s="59"/>
      <c r="K205" s="59"/>
      <c r="L205" s="59"/>
      <c r="M205" s="59"/>
      <c r="N205" s="59"/>
      <c r="O205" s="59"/>
      <c r="P205" s="59"/>
      <c r="Q205" s="59"/>
      <c r="R205" s="59"/>
      <c r="S205" s="59"/>
      <c r="T205" s="59"/>
      <c r="U205" s="59"/>
      <c r="V205" s="59"/>
      <c r="W205" s="59"/>
      <c r="X205" s="59"/>
      <c r="Y205" s="59"/>
      <c r="Z205" s="59"/>
    </row>
    <row r="206" spans="1:26" ht="13.5" customHeight="1" x14ac:dyDescent="0.3">
      <c r="A206" s="63"/>
      <c r="B206" s="63"/>
      <c r="C206" s="63"/>
      <c r="D206" s="64"/>
      <c r="E206" s="63"/>
      <c r="F206" s="64"/>
      <c r="G206" s="59"/>
      <c r="H206" s="59"/>
      <c r="I206" s="59"/>
      <c r="J206" s="59"/>
      <c r="K206" s="59"/>
      <c r="L206" s="59"/>
      <c r="M206" s="59"/>
      <c r="N206" s="59"/>
      <c r="O206" s="59"/>
      <c r="P206" s="59"/>
      <c r="Q206" s="59"/>
      <c r="R206" s="59"/>
      <c r="S206" s="59"/>
      <c r="T206" s="59"/>
      <c r="U206" s="59"/>
      <c r="V206" s="59"/>
      <c r="W206" s="59"/>
      <c r="X206" s="59"/>
      <c r="Y206" s="59"/>
      <c r="Z206" s="59"/>
    </row>
    <row r="207" spans="1:26" ht="13.5" customHeight="1" x14ac:dyDescent="0.3">
      <c r="A207" s="63"/>
      <c r="B207" s="63"/>
      <c r="C207" s="63"/>
      <c r="D207" s="64"/>
      <c r="E207" s="63"/>
      <c r="F207" s="64"/>
      <c r="G207" s="59"/>
      <c r="H207" s="59"/>
      <c r="I207" s="59"/>
      <c r="J207" s="59"/>
      <c r="K207" s="59"/>
      <c r="L207" s="59"/>
      <c r="M207" s="59"/>
      <c r="N207" s="59"/>
      <c r="O207" s="59"/>
      <c r="P207" s="59"/>
      <c r="Q207" s="59"/>
      <c r="R207" s="59"/>
      <c r="S207" s="59"/>
      <c r="T207" s="59"/>
      <c r="U207" s="59"/>
      <c r="V207" s="59"/>
      <c r="W207" s="59"/>
      <c r="X207" s="59"/>
      <c r="Y207" s="59"/>
      <c r="Z207" s="59"/>
    </row>
  </sheetData>
  <autoFilter ref="A1:F78"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36"/>
  <sheetViews>
    <sheetView tabSelected="1" zoomScale="95" zoomScaleNormal="95" workbookViewId="0">
      <pane ySplit="8" topLeftCell="A41" activePane="bottomLeft" state="frozen"/>
      <selection pane="bottomLeft" activeCell="H9" sqref="H9:H12"/>
    </sheetView>
  </sheetViews>
  <sheetFormatPr defaultColWidth="14.44140625" defaultRowHeight="15" customHeight="1" x14ac:dyDescent="0.3"/>
  <cols>
    <col min="1" max="1" width="26"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34</v>
      </c>
      <c r="B2" s="173" t="s">
        <v>78</v>
      </c>
      <c r="C2" s="173"/>
      <c r="D2" s="173"/>
      <c r="E2" s="173"/>
      <c r="F2" s="173"/>
      <c r="G2" s="173"/>
      <c r="H2" s="173"/>
      <c r="I2" s="173"/>
      <c r="J2" s="69" t="s">
        <v>35</v>
      </c>
      <c r="K2" s="136"/>
      <c r="L2" s="69"/>
      <c r="M2" s="69"/>
      <c r="N2" s="69"/>
      <c r="O2" s="69"/>
      <c r="P2" s="69"/>
      <c r="Q2" s="69"/>
      <c r="R2" s="69"/>
      <c r="S2" s="69"/>
      <c r="T2" s="69"/>
      <c r="U2" s="69"/>
      <c r="V2" s="69"/>
      <c r="W2" s="69"/>
      <c r="X2" s="69"/>
      <c r="Y2" s="69"/>
      <c r="Z2" s="69"/>
    </row>
    <row r="3" spans="1:27" ht="25.5" customHeight="1" x14ac:dyDescent="0.3">
      <c r="A3" s="71" t="s">
        <v>36</v>
      </c>
      <c r="B3" s="174"/>
      <c r="C3" s="174"/>
      <c r="D3" s="174"/>
      <c r="E3" s="174"/>
      <c r="F3" s="174"/>
      <c r="G3" s="174"/>
      <c r="H3" s="174"/>
      <c r="I3" s="175"/>
      <c r="J3" s="69" t="s">
        <v>37</v>
      </c>
      <c r="K3" s="69"/>
      <c r="L3" s="69"/>
      <c r="M3" s="69"/>
      <c r="N3" s="69"/>
      <c r="O3" s="69"/>
      <c r="P3" s="69"/>
      <c r="Q3" s="69"/>
      <c r="R3" s="69"/>
      <c r="S3" s="69"/>
      <c r="T3" s="69"/>
      <c r="U3" s="69"/>
      <c r="V3" s="69"/>
      <c r="W3" s="69"/>
      <c r="X3" s="69"/>
      <c r="Y3" s="69"/>
      <c r="Z3" s="69"/>
    </row>
    <row r="4" spans="1:27" ht="18" customHeight="1" x14ac:dyDescent="0.3">
      <c r="A4" s="70" t="s">
        <v>38</v>
      </c>
      <c r="B4" s="176" t="s">
        <v>61</v>
      </c>
      <c r="C4" s="176"/>
      <c r="D4" s="176"/>
      <c r="E4" s="176"/>
      <c r="F4" s="176"/>
      <c r="G4" s="176"/>
      <c r="H4" s="176"/>
      <c r="I4" s="177"/>
      <c r="J4" s="69" t="s">
        <v>39</v>
      </c>
      <c r="K4" s="69"/>
      <c r="L4" s="69"/>
      <c r="M4" s="69"/>
      <c r="N4" s="69"/>
      <c r="O4" s="69"/>
      <c r="P4" s="69"/>
      <c r="Q4" s="69"/>
      <c r="R4" s="69"/>
      <c r="S4" s="69"/>
      <c r="T4" s="69"/>
      <c r="U4" s="69"/>
      <c r="V4" s="69"/>
      <c r="W4" s="69"/>
      <c r="X4" s="69"/>
      <c r="Y4" s="69"/>
      <c r="Z4" s="69"/>
    </row>
    <row r="5" spans="1:27" ht="19.5" customHeight="1" x14ac:dyDescent="0.3">
      <c r="A5" s="72" t="s">
        <v>35</v>
      </c>
      <c r="B5" s="128" t="s">
        <v>37</v>
      </c>
      <c r="C5" s="128" t="s">
        <v>40</v>
      </c>
      <c r="D5" s="128" t="s">
        <v>39</v>
      </c>
      <c r="E5" s="129" t="s">
        <v>41</v>
      </c>
      <c r="F5" s="178" t="s">
        <v>42</v>
      </c>
      <c r="G5" s="178"/>
      <c r="H5" s="178"/>
      <c r="I5" s="179"/>
      <c r="J5" s="69" t="s">
        <v>40</v>
      </c>
      <c r="K5" s="69"/>
      <c r="L5" s="69"/>
      <c r="M5" s="69"/>
      <c r="N5" s="69"/>
      <c r="O5" s="69"/>
      <c r="P5" s="69"/>
      <c r="Q5" s="69"/>
      <c r="R5" s="69"/>
      <c r="S5" s="69"/>
      <c r="T5" s="69"/>
      <c r="U5" s="69"/>
      <c r="V5" s="69"/>
      <c r="W5" s="69"/>
      <c r="X5" s="69"/>
      <c r="Y5" s="69"/>
      <c r="Z5" s="69"/>
    </row>
    <row r="6" spans="1:27" ht="15" customHeight="1" thickBot="1" x14ac:dyDescent="0.35">
      <c r="A6" s="73">
        <f>COUNTIF(G9:G1032,"Passed")</f>
        <v>37</v>
      </c>
      <c r="B6" s="130">
        <f>COUNTIF(G9:G1032,"Failed")</f>
        <v>8</v>
      </c>
      <c r="C6" s="130">
        <f>F6-E6-D6-B6-A6</f>
        <v>0</v>
      </c>
      <c r="D6" s="130">
        <f>COUNTIF(G$9:G$1032,"Blocked")</f>
        <v>0</v>
      </c>
      <c r="E6" s="133">
        <f>COUNTIF(F$9:F$1032,"Skipped")</f>
        <v>0</v>
      </c>
      <c r="F6" s="180">
        <f>COUNTA(A9:A1032)</f>
        <v>45</v>
      </c>
      <c r="G6" s="180"/>
      <c r="H6" s="180"/>
      <c r="I6" s="181"/>
      <c r="J6" s="69" t="s">
        <v>41</v>
      </c>
      <c r="K6" s="69"/>
      <c r="L6" s="69"/>
      <c r="M6" s="69"/>
      <c r="N6" s="69"/>
      <c r="O6" s="69"/>
      <c r="P6" s="69"/>
      <c r="Q6" s="69"/>
      <c r="R6" s="69"/>
      <c r="S6" s="69"/>
      <c r="T6" s="69"/>
      <c r="U6" s="69"/>
      <c r="V6" s="69"/>
      <c r="W6" s="69"/>
      <c r="X6" s="69"/>
      <c r="Y6" s="69"/>
      <c r="Z6" s="69"/>
    </row>
    <row r="7" spans="1:27" ht="15" customHeight="1" x14ac:dyDescent="0.3">
      <c r="A7" s="69"/>
      <c r="B7" s="131"/>
      <c r="C7" s="131"/>
      <c r="D7" s="132"/>
      <c r="E7" s="132"/>
      <c r="F7" s="134"/>
      <c r="G7" s="134"/>
      <c r="H7" s="134"/>
      <c r="I7" s="135"/>
      <c r="J7" s="69"/>
      <c r="K7" s="69"/>
      <c r="L7" s="69"/>
      <c r="M7" s="69"/>
      <c r="N7" s="69"/>
      <c r="O7" s="69"/>
      <c r="P7" s="69"/>
      <c r="Q7" s="69"/>
      <c r="R7" s="69"/>
      <c r="S7" s="69"/>
      <c r="T7" s="69"/>
      <c r="U7" s="69"/>
      <c r="V7" s="69"/>
      <c r="W7" s="69"/>
      <c r="X7" s="69"/>
      <c r="Y7" s="69"/>
      <c r="Z7" s="69"/>
    </row>
    <row r="8" spans="1:27" ht="25.5" customHeight="1" x14ac:dyDescent="0.3">
      <c r="A8" s="75" t="s">
        <v>43</v>
      </c>
      <c r="B8" s="76" t="s">
        <v>44</v>
      </c>
      <c r="C8" s="76" t="s">
        <v>85</v>
      </c>
      <c r="D8" s="76" t="s">
        <v>45</v>
      </c>
      <c r="E8" s="76" t="s">
        <v>46</v>
      </c>
      <c r="F8" s="77" t="s">
        <v>47</v>
      </c>
      <c r="G8" s="77" t="s">
        <v>48</v>
      </c>
      <c r="H8" s="77" t="s">
        <v>49</v>
      </c>
      <c r="I8" s="140" t="s">
        <v>31</v>
      </c>
      <c r="J8" s="78"/>
      <c r="K8" s="69"/>
      <c r="L8" s="69"/>
      <c r="M8" s="69"/>
      <c r="N8" s="69"/>
      <c r="O8" s="69"/>
      <c r="P8" s="69"/>
      <c r="Q8" s="69"/>
      <c r="R8" s="69"/>
      <c r="S8" s="69"/>
      <c r="T8" s="69"/>
      <c r="U8" s="69"/>
      <c r="V8" s="69"/>
      <c r="W8" s="69"/>
      <c r="X8" s="69"/>
      <c r="Y8" s="69"/>
      <c r="Z8" s="69"/>
      <c r="AA8" s="69"/>
    </row>
    <row r="9" spans="1:27" ht="124.2" x14ac:dyDescent="0.3">
      <c r="A9" s="79" t="str">
        <f t="shared" ref="A9:A19" si="0">IF(OR(B9&lt;&gt;"",E9&lt;&gt;""),"["&amp;TEXT($B$2,"##")&amp;"_"&amp;"ADD_"&amp;TEXT(ROW()-8,"##")&amp;"]","")</f>
        <v>[COMP_PRDT_ADD_1]</v>
      </c>
      <c r="B9" s="118" t="s">
        <v>226</v>
      </c>
      <c r="C9" s="118"/>
      <c r="D9" s="118" t="s">
        <v>151</v>
      </c>
      <c r="E9" s="138" t="s">
        <v>83</v>
      </c>
      <c r="F9" s="141"/>
      <c r="G9" s="142" t="s">
        <v>35</v>
      </c>
      <c r="H9" s="143">
        <v>45674</v>
      </c>
      <c r="I9" s="142" t="s">
        <v>86</v>
      </c>
      <c r="J9" s="81"/>
      <c r="K9" s="137"/>
      <c r="L9" s="7"/>
      <c r="M9" s="7"/>
      <c r="N9" s="7"/>
      <c r="O9" s="7"/>
      <c r="P9" s="7"/>
      <c r="Q9" s="7"/>
      <c r="R9" s="7"/>
      <c r="S9" s="7"/>
      <c r="T9" s="7"/>
      <c r="U9" s="7"/>
      <c r="V9" s="7"/>
      <c r="W9" s="7"/>
      <c r="X9" s="7"/>
      <c r="Y9" s="7"/>
      <c r="Z9" s="7"/>
      <c r="AA9" s="7"/>
    </row>
    <row r="10" spans="1:27" ht="138" x14ac:dyDescent="0.3">
      <c r="A10" s="79" t="str">
        <f>IF(OR(B10&lt;&gt;"",E10&lt;&gt;""),"["&amp;TEXT($B$2,"##")&amp;"_"&amp;"ADD_"&amp;TEXT(ROW()-8,"##")&amp;"]","")</f>
        <v>[COMP_PRDT_ADD_2]</v>
      </c>
      <c r="B10" s="118" t="s">
        <v>178</v>
      </c>
      <c r="C10" s="148" t="s">
        <v>152</v>
      </c>
      <c r="D10" s="148" t="s">
        <v>153</v>
      </c>
      <c r="E10" s="138" t="s">
        <v>126</v>
      </c>
      <c r="F10" s="141" t="s">
        <v>84</v>
      </c>
      <c r="G10" s="142" t="s">
        <v>35</v>
      </c>
      <c r="H10" s="143">
        <v>45674</v>
      </c>
      <c r="I10" s="142" t="s">
        <v>86</v>
      </c>
      <c r="J10" s="127"/>
      <c r="K10" s="126"/>
      <c r="L10" s="126"/>
      <c r="M10" s="126"/>
      <c r="N10" s="126"/>
      <c r="O10" s="126"/>
      <c r="P10" s="126"/>
      <c r="Q10" s="126"/>
      <c r="R10" s="126"/>
      <c r="S10" s="126"/>
      <c r="T10" s="126"/>
      <c r="U10" s="126"/>
      <c r="V10" s="126"/>
      <c r="W10" s="126"/>
      <c r="X10" s="126"/>
      <c r="Y10" s="126"/>
      <c r="Z10" s="126"/>
      <c r="AA10" s="126"/>
    </row>
    <row r="11" spans="1:27" ht="225" customHeight="1" x14ac:dyDescent="0.3">
      <c r="A11" s="79" t="str">
        <f t="shared" si="0"/>
        <v>[COMP_PRDT_ADD_3]</v>
      </c>
      <c r="B11" s="118" t="s">
        <v>154</v>
      </c>
      <c r="C11" s="148" t="s">
        <v>206</v>
      </c>
      <c r="D11" s="148" t="s">
        <v>155</v>
      </c>
      <c r="E11" s="139" t="s">
        <v>87</v>
      </c>
      <c r="F11" s="141" t="s">
        <v>84</v>
      </c>
      <c r="G11" s="142" t="s">
        <v>35</v>
      </c>
      <c r="H11" s="143">
        <v>45674</v>
      </c>
      <c r="I11" s="142" t="s">
        <v>86</v>
      </c>
      <c r="J11" s="81"/>
      <c r="K11" s="7"/>
      <c r="L11" s="7"/>
      <c r="M11" s="7"/>
      <c r="N11" s="7"/>
      <c r="O11" s="7"/>
      <c r="P11" s="7"/>
      <c r="Q11" s="7"/>
      <c r="R11" s="7"/>
      <c r="S11" s="7"/>
      <c r="T11" s="7"/>
      <c r="U11" s="7"/>
      <c r="V11" s="7"/>
      <c r="W11" s="7"/>
      <c r="X11" s="7"/>
      <c r="Y11" s="7"/>
      <c r="Z11" s="7"/>
      <c r="AA11" s="7"/>
    </row>
    <row r="12" spans="1:27" ht="179.4" x14ac:dyDescent="0.3">
      <c r="A12" s="79" t="str">
        <f t="shared" si="0"/>
        <v>[COMP_PRDT_ADD_4]</v>
      </c>
      <c r="B12" s="118" t="s">
        <v>225</v>
      </c>
      <c r="C12" s="118" t="s">
        <v>177</v>
      </c>
      <c r="D12" s="148" t="s">
        <v>179</v>
      </c>
      <c r="E12" s="138" t="s">
        <v>180</v>
      </c>
      <c r="F12" s="141" t="s">
        <v>84</v>
      </c>
      <c r="G12" s="142" t="s">
        <v>35</v>
      </c>
      <c r="H12" s="143">
        <v>45674</v>
      </c>
      <c r="I12" s="142"/>
      <c r="J12" s="82"/>
      <c r="K12" s="69"/>
      <c r="L12" s="69"/>
      <c r="M12" s="69"/>
      <c r="N12" s="69"/>
      <c r="O12" s="69"/>
      <c r="P12" s="69"/>
      <c r="Q12" s="69"/>
      <c r="R12" s="69"/>
      <c r="S12" s="69"/>
      <c r="T12" s="69"/>
      <c r="U12" s="69"/>
      <c r="V12" s="69"/>
      <c r="W12" s="69"/>
      <c r="X12" s="69"/>
      <c r="Y12" s="69"/>
      <c r="Z12" s="69"/>
      <c r="AA12" s="69"/>
    </row>
    <row r="13" spans="1:27" ht="193.2" x14ac:dyDescent="0.3">
      <c r="A13" s="79" t="str">
        <f>IF(OR(B13&lt;&gt;"",E13&lt;&gt;""),"["&amp;TEXT($B$2,"##")&amp;"_"&amp;"ADD_"&amp;TEXT(ROW()-8,"##")&amp;"]","")</f>
        <v>[COMP_PRDT_ADD_5]</v>
      </c>
      <c r="B13" s="118" t="s">
        <v>266</v>
      </c>
      <c r="C13" s="118" t="s">
        <v>177</v>
      </c>
      <c r="D13" s="148" t="s">
        <v>264</v>
      </c>
      <c r="E13" s="138" t="s">
        <v>265</v>
      </c>
      <c r="F13" s="141"/>
      <c r="G13" s="142" t="s">
        <v>35</v>
      </c>
      <c r="H13" s="143"/>
      <c r="I13" s="142"/>
      <c r="J13" s="154"/>
      <c r="K13" s="155"/>
      <c r="L13" s="155"/>
      <c r="M13" s="155"/>
      <c r="N13" s="155"/>
      <c r="O13" s="155"/>
      <c r="P13" s="155"/>
      <c r="Q13" s="155"/>
      <c r="R13" s="155"/>
      <c r="S13" s="155"/>
      <c r="T13" s="155"/>
      <c r="U13" s="155"/>
      <c r="V13" s="155"/>
      <c r="W13" s="155"/>
      <c r="X13" s="155"/>
      <c r="Y13" s="155"/>
      <c r="Z13" s="155"/>
      <c r="AA13" s="155"/>
    </row>
    <row r="14" spans="1:27" ht="151.80000000000001" x14ac:dyDescent="0.3">
      <c r="A14" s="79" t="str">
        <f t="shared" si="0"/>
        <v>[COMP_PRDT_ADD_6]</v>
      </c>
      <c r="B14" s="80" t="s">
        <v>156</v>
      </c>
      <c r="C14" s="148" t="s">
        <v>207</v>
      </c>
      <c r="D14" s="148" t="s">
        <v>181</v>
      </c>
      <c r="E14" s="138" t="s">
        <v>115</v>
      </c>
      <c r="F14" s="141" t="s">
        <v>90</v>
      </c>
      <c r="G14" s="142" t="s">
        <v>35</v>
      </c>
      <c r="H14" s="143">
        <v>45674</v>
      </c>
      <c r="I14" s="142"/>
      <c r="J14" s="81"/>
      <c r="K14" s="7"/>
      <c r="L14" s="7"/>
      <c r="M14" s="7"/>
      <c r="N14" s="7"/>
      <c r="O14" s="7"/>
      <c r="P14" s="7"/>
      <c r="Q14" s="7"/>
      <c r="R14" s="7"/>
      <c r="S14" s="7"/>
      <c r="T14" s="7"/>
      <c r="U14" s="7"/>
      <c r="V14" s="7"/>
      <c r="W14" s="7"/>
      <c r="X14" s="7"/>
      <c r="Y14" s="7"/>
      <c r="Z14" s="7"/>
      <c r="AA14" s="7"/>
    </row>
    <row r="15" spans="1:27" ht="138" x14ac:dyDescent="0.3">
      <c r="A15" s="79" t="str">
        <f t="shared" si="0"/>
        <v>[COMP_PRDT_ADD_7]</v>
      </c>
      <c r="B15" s="118" t="s">
        <v>157</v>
      </c>
      <c r="C15" s="118" t="s">
        <v>177</v>
      </c>
      <c r="D15" s="148" t="s">
        <v>183</v>
      </c>
      <c r="E15" s="138" t="s">
        <v>116</v>
      </c>
      <c r="F15" s="141" t="s">
        <v>182</v>
      </c>
      <c r="G15" s="142" t="s">
        <v>35</v>
      </c>
      <c r="H15" s="143">
        <v>45674</v>
      </c>
      <c r="I15" s="144"/>
      <c r="J15" s="83"/>
      <c r="K15" s="7"/>
      <c r="L15" s="7"/>
      <c r="M15" s="7"/>
      <c r="N15" s="7"/>
      <c r="O15" s="7"/>
      <c r="P15" s="7"/>
      <c r="Q15" s="7"/>
      <c r="R15" s="7"/>
      <c r="S15" s="7"/>
      <c r="T15" s="7"/>
      <c r="U15" s="7"/>
      <c r="V15" s="7"/>
      <c r="W15" s="7"/>
      <c r="X15" s="7"/>
      <c r="Y15" s="7"/>
      <c r="Z15" s="7"/>
      <c r="AA15" s="7"/>
    </row>
    <row r="16" spans="1:27" ht="138" x14ac:dyDescent="0.3">
      <c r="A16" s="79" t="str">
        <f t="shared" si="0"/>
        <v>[COMP_PRDT_ADD_8]</v>
      </c>
      <c r="B16" s="118" t="s">
        <v>158</v>
      </c>
      <c r="C16" s="118" t="s">
        <v>177</v>
      </c>
      <c r="D16" s="148" t="s">
        <v>184</v>
      </c>
      <c r="E16" s="138" t="s">
        <v>280</v>
      </c>
      <c r="F16" s="141"/>
      <c r="G16" s="142" t="s">
        <v>37</v>
      </c>
      <c r="H16" s="143">
        <v>45674</v>
      </c>
      <c r="I16" s="142"/>
      <c r="J16" s="82"/>
      <c r="K16" s="69"/>
      <c r="L16" s="69"/>
      <c r="M16" s="69"/>
      <c r="N16" s="69"/>
      <c r="O16" s="69"/>
      <c r="P16" s="69"/>
      <c r="Q16" s="69"/>
      <c r="R16" s="69"/>
      <c r="S16" s="69"/>
      <c r="T16" s="69"/>
      <c r="U16" s="69"/>
      <c r="V16" s="69"/>
      <c r="W16" s="69"/>
      <c r="X16" s="69"/>
      <c r="Y16" s="69"/>
      <c r="Z16" s="69"/>
      <c r="AA16" s="69"/>
    </row>
    <row r="17" spans="1:27" ht="151.80000000000001" x14ac:dyDescent="0.3">
      <c r="A17" s="79" t="str">
        <f t="shared" si="0"/>
        <v>[COMP_PRDT_ADD_9]</v>
      </c>
      <c r="B17" s="118" t="s">
        <v>159</v>
      </c>
      <c r="C17" s="118" t="s">
        <v>177</v>
      </c>
      <c r="D17" s="148" t="s">
        <v>185</v>
      </c>
      <c r="E17" s="138" t="s">
        <v>281</v>
      </c>
      <c r="F17" s="141"/>
      <c r="G17" s="142" t="s">
        <v>37</v>
      </c>
      <c r="H17" s="143">
        <v>45674</v>
      </c>
      <c r="I17" s="145" t="s">
        <v>204</v>
      </c>
      <c r="J17" s="81"/>
      <c r="K17" s="7"/>
      <c r="L17" s="7"/>
      <c r="M17" s="7"/>
      <c r="N17" s="7"/>
      <c r="O17" s="7"/>
      <c r="P17" s="7"/>
      <c r="Q17" s="7"/>
      <c r="R17" s="7"/>
      <c r="S17" s="7"/>
      <c r="T17" s="7"/>
      <c r="U17" s="7"/>
      <c r="V17" s="7"/>
      <c r="W17" s="7"/>
      <c r="X17" s="7"/>
      <c r="Y17" s="7"/>
      <c r="Z17" s="7"/>
      <c r="AA17" s="7"/>
    </row>
    <row r="18" spans="1:27" ht="180" customHeight="1" x14ac:dyDescent="0.3">
      <c r="A18" s="79" t="str">
        <f t="shared" si="0"/>
        <v>[COMP_PRDT_ADD_10]</v>
      </c>
      <c r="B18" s="118" t="s">
        <v>160</v>
      </c>
      <c r="C18" s="118" t="s">
        <v>177</v>
      </c>
      <c r="D18" s="148" t="s">
        <v>186</v>
      </c>
      <c r="E18" s="138" t="s">
        <v>282</v>
      </c>
      <c r="F18" s="141"/>
      <c r="G18" s="142" t="s">
        <v>37</v>
      </c>
      <c r="H18" s="143">
        <v>45674</v>
      </c>
      <c r="I18" s="142"/>
      <c r="J18" s="83"/>
      <c r="K18" s="7"/>
      <c r="L18" s="7"/>
      <c r="M18" s="7"/>
      <c r="N18" s="7"/>
      <c r="O18" s="7"/>
      <c r="P18" s="7"/>
      <c r="Q18" s="7"/>
      <c r="R18" s="7"/>
      <c r="S18" s="7"/>
      <c r="T18" s="7"/>
      <c r="U18" s="7"/>
      <c r="V18" s="7"/>
      <c r="W18" s="7"/>
      <c r="X18" s="7"/>
      <c r="Y18" s="7"/>
      <c r="Z18" s="7"/>
      <c r="AA18" s="7"/>
    </row>
    <row r="19" spans="1:27" ht="179.4" x14ac:dyDescent="0.3">
      <c r="A19" s="79" t="str">
        <f t="shared" si="0"/>
        <v>[COMP_PRDT_ADD_11]</v>
      </c>
      <c r="B19" s="118" t="s">
        <v>161</v>
      </c>
      <c r="C19" s="118" t="s">
        <v>177</v>
      </c>
      <c r="D19" s="148" t="s">
        <v>187</v>
      </c>
      <c r="E19" s="138" t="s">
        <v>117</v>
      </c>
      <c r="F19" s="146"/>
      <c r="G19" s="142" t="s">
        <v>35</v>
      </c>
      <c r="H19" s="143">
        <v>45674</v>
      </c>
      <c r="I19" s="142"/>
      <c r="J19" s="83"/>
      <c r="K19" s="7"/>
      <c r="L19" s="7"/>
      <c r="M19" s="7"/>
      <c r="N19" s="7"/>
      <c r="O19" s="7"/>
      <c r="P19" s="7"/>
      <c r="Q19" s="7"/>
      <c r="R19" s="7"/>
      <c r="S19" s="7"/>
      <c r="T19" s="7"/>
      <c r="U19" s="7"/>
      <c r="V19" s="7"/>
      <c r="W19" s="7"/>
      <c r="X19" s="7"/>
      <c r="Y19" s="7"/>
      <c r="Z19" s="7"/>
      <c r="AA19" s="7"/>
    </row>
    <row r="20" spans="1:27" ht="165.6" x14ac:dyDescent="0.3">
      <c r="A20" s="79" t="str">
        <f>IF(OR(B20&lt;&gt;"",E20&lt;&gt;""),"["&amp;TEXT($B$2,"##")&amp;"_"&amp;"ADD_"&amp;TEXT(ROW()-8,"##")&amp;"]","")</f>
        <v>[COMP_PRDT_ADD_12]</v>
      </c>
      <c r="B20" s="118" t="s">
        <v>270</v>
      </c>
      <c r="C20" s="149" t="s">
        <v>271</v>
      </c>
      <c r="D20" s="148" t="s">
        <v>272</v>
      </c>
      <c r="E20" s="138" t="s">
        <v>279</v>
      </c>
      <c r="F20" s="146"/>
      <c r="G20" s="142" t="s">
        <v>35</v>
      </c>
      <c r="H20" s="143"/>
      <c r="I20" s="142"/>
      <c r="J20" s="153"/>
      <c r="K20" s="126"/>
      <c r="L20" s="126"/>
      <c r="M20" s="126"/>
      <c r="N20" s="126"/>
      <c r="O20" s="126"/>
      <c r="P20" s="126"/>
      <c r="Q20" s="126"/>
      <c r="R20" s="126"/>
      <c r="S20" s="126"/>
      <c r="T20" s="126"/>
      <c r="U20" s="126"/>
      <c r="V20" s="126"/>
      <c r="W20" s="126"/>
      <c r="X20" s="126"/>
      <c r="Y20" s="126"/>
      <c r="Z20" s="126"/>
      <c r="AA20" s="126"/>
    </row>
    <row r="21" spans="1:27" ht="124.2" x14ac:dyDescent="0.3">
      <c r="A21" s="79" t="str">
        <f>IF(OR(B21&lt;&gt;"",E21&lt;&gt;""),"["&amp;TEXT($B$2,"##")&amp;"_"&amp;"ADD_"&amp;TEXT(ROW()-8,"##")&amp;"]","")</f>
        <v>[COMP_PRDT_ADD_13]</v>
      </c>
      <c r="B21" s="118" t="s">
        <v>260</v>
      </c>
      <c r="C21" s="80"/>
      <c r="D21" s="148" t="s">
        <v>188</v>
      </c>
      <c r="E21" s="138" t="s">
        <v>118</v>
      </c>
      <c r="F21" s="146"/>
      <c r="G21" s="142" t="s">
        <v>35</v>
      </c>
      <c r="H21" s="143"/>
      <c r="I21" s="142"/>
      <c r="J21" s="153"/>
      <c r="K21" s="126"/>
      <c r="L21" s="126"/>
      <c r="M21" s="126"/>
      <c r="N21" s="126"/>
      <c r="O21" s="126"/>
      <c r="P21" s="126"/>
      <c r="Q21" s="126"/>
      <c r="R21" s="126"/>
      <c r="S21" s="126"/>
      <c r="T21" s="126"/>
      <c r="U21" s="126"/>
      <c r="V21" s="126"/>
      <c r="W21" s="126"/>
      <c r="X21" s="126"/>
      <c r="Y21" s="126"/>
      <c r="Z21" s="126"/>
      <c r="AA21" s="126"/>
    </row>
    <row r="22" spans="1:27" ht="151.80000000000001" x14ac:dyDescent="0.3">
      <c r="A22" s="79" t="str">
        <f t="shared" ref="A22:A23" si="1">IF(OR(B22&lt;&gt;"",E22&lt;&gt;""),"["&amp;TEXT($B$2,"##")&amp;"_"&amp;"ADD_"&amp;TEXT(ROW()-8,"##")&amp;"]","")</f>
        <v>[COMP_PRDT_ADD_14]</v>
      </c>
      <c r="B22" s="118" t="s">
        <v>261</v>
      </c>
      <c r="C22" s="118" t="s">
        <v>262</v>
      </c>
      <c r="D22" s="148" t="s">
        <v>188</v>
      </c>
      <c r="E22" s="138" t="s">
        <v>263</v>
      </c>
      <c r="F22" s="146"/>
      <c r="G22" s="142" t="s">
        <v>35</v>
      </c>
      <c r="H22" s="143">
        <v>45674</v>
      </c>
      <c r="I22" s="142"/>
      <c r="J22" s="7"/>
      <c r="K22" s="7"/>
      <c r="L22" s="7"/>
      <c r="M22" s="7"/>
      <c r="N22" s="7"/>
      <c r="O22" s="7"/>
      <c r="P22" s="7"/>
      <c r="Q22" s="7"/>
      <c r="R22" s="7"/>
      <c r="S22" s="7"/>
      <c r="T22" s="7"/>
      <c r="U22" s="7"/>
      <c r="V22" s="7"/>
      <c r="W22" s="7"/>
      <c r="X22" s="7"/>
      <c r="Y22" s="7"/>
      <c r="Z22" s="7"/>
    </row>
    <row r="23" spans="1:27" ht="193.2" x14ac:dyDescent="0.3">
      <c r="A23" s="79" t="str">
        <f t="shared" si="1"/>
        <v>[COMP_PRDT_ADD_15]</v>
      </c>
      <c r="B23" s="118" t="s">
        <v>162</v>
      </c>
      <c r="C23" s="118" t="s">
        <v>119</v>
      </c>
      <c r="D23" s="148" t="s">
        <v>189</v>
      </c>
      <c r="E23" s="138" t="s">
        <v>120</v>
      </c>
      <c r="F23" s="146"/>
      <c r="G23" s="142" t="s">
        <v>35</v>
      </c>
      <c r="H23" s="143">
        <v>45674</v>
      </c>
      <c r="I23" s="142"/>
      <c r="J23" s="7"/>
      <c r="K23" s="7"/>
      <c r="L23" s="7"/>
      <c r="M23" s="7"/>
      <c r="N23" s="7"/>
      <c r="O23" s="7"/>
      <c r="P23" s="7"/>
      <c r="Q23" s="7"/>
      <c r="R23" s="7"/>
      <c r="S23" s="7"/>
      <c r="T23" s="7"/>
      <c r="U23" s="7"/>
      <c r="V23" s="7"/>
      <c r="W23" s="7"/>
      <c r="X23" s="7"/>
      <c r="Y23" s="7"/>
      <c r="Z23" s="7"/>
    </row>
    <row r="24" spans="1:27" ht="234.6" x14ac:dyDescent="0.3">
      <c r="A24" s="79" t="str">
        <f>IF(OR(B24&lt;&gt;"",E24&lt;&gt;""),"["&amp;TEXT($B$2,"##")&amp;"_"&amp;"ADD_"&amp;TEXT(ROW()-8,"##")&amp;"]","")</f>
        <v>[COMP_PRDT_ADD_16]</v>
      </c>
      <c r="B24" s="118" t="s">
        <v>167</v>
      </c>
      <c r="C24" s="118"/>
      <c r="D24" s="148" t="s">
        <v>190</v>
      </c>
      <c r="E24" s="138" t="s">
        <v>124</v>
      </c>
      <c r="F24" s="146"/>
      <c r="G24" s="142" t="s">
        <v>35</v>
      </c>
      <c r="H24" s="143">
        <v>45674</v>
      </c>
      <c r="I24" s="142"/>
      <c r="J24" s="126"/>
      <c r="K24" s="126"/>
      <c r="L24" s="126"/>
      <c r="M24" s="126"/>
      <c r="N24" s="126"/>
      <c r="O24" s="126"/>
      <c r="P24" s="126"/>
      <c r="Q24" s="126"/>
      <c r="R24" s="126"/>
      <c r="S24" s="126"/>
      <c r="T24" s="126"/>
      <c r="U24" s="126"/>
      <c r="V24" s="126"/>
      <c r="W24" s="126"/>
      <c r="X24" s="126"/>
      <c r="Y24" s="126"/>
      <c r="Z24" s="126"/>
    </row>
    <row r="25" spans="1:27" ht="262.2" x14ac:dyDescent="0.3">
      <c r="A25" s="79" t="str">
        <f>IF(OR(B25&lt;&gt;"",E25&lt;&gt;""),"["&amp;TEXT($B$2,"##")&amp;"_"&amp;"ADD_"&amp;TEXT(ROW()-8,"##")&amp;"]","")</f>
        <v>[COMP_PRDT_ADD_17]</v>
      </c>
      <c r="B25" s="118" t="s">
        <v>163</v>
      </c>
      <c r="C25" s="118"/>
      <c r="D25" s="148" t="s">
        <v>191</v>
      </c>
      <c r="E25" s="138" t="s">
        <v>125</v>
      </c>
      <c r="F25" s="146"/>
      <c r="G25" s="142" t="s">
        <v>35</v>
      </c>
      <c r="H25" s="143">
        <v>45674</v>
      </c>
      <c r="I25" s="142"/>
      <c r="J25" s="126"/>
      <c r="K25" s="126"/>
      <c r="L25" s="126"/>
      <c r="M25" s="126"/>
      <c r="N25" s="126"/>
      <c r="O25" s="126"/>
      <c r="P25" s="126"/>
      <c r="Q25" s="126"/>
      <c r="R25" s="126"/>
      <c r="S25" s="126"/>
      <c r="T25" s="126"/>
      <c r="U25" s="126"/>
      <c r="V25" s="126"/>
      <c r="W25" s="126"/>
      <c r="X25" s="126"/>
      <c r="Y25" s="126"/>
      <c r="Z25" s="126"/>
    </row>
    <row r="26" spans="1:27" ht="124.2" x14ac:dyDescent="0.3">
      <c r="A26" s="79" t="str">
        <f>IF(OR(B26&lt;&gt;"",E26&lt;&gt;""),"["&amp;TEXT($B$2,"##")&amp;"_"&amp;"REMOVE_"&amp;TEXT(ROW()-8,"##")&amp;"]","")</f>
        <v>[COMP_PRDT_REMOVE_18]</v>
      </c>
      <c r="B26" s="118" t="s">
        <v>164</v>
      </c>
      <c r="C26" s="148" t="s">
        <v>192</v>
      </c>
      <c r="D26" s="148" t="s">
        <v>193</v>
      </c>
      <c r="E26" s="138" t="s">
        <v>122</v>
      </c>
      <c r="F26" s="146" t="s">
        <v>130</v>
      </c>
      <c r="G26" s="142" t="s">
        <v>35</v>
      </c>
      <c r="H26" s="143">
        <v>45674</v>
      </c>
      <c r="I26" s="142"/>
      <c r="J26" s="7"/>
      <c r="K26" s="7"/>
      <c r="L26" s="7"/>
      <c r="M26" s="7"/>
      <c r="N26" s="7"/>
      <c r="O26" s="7"/>
      <c r="P26" s="7"/>
      <c r="Q26" s="7"/>
      <c r="R26" s="7"/>
      <c r="S26" s="7"/>
      <c r="T26" s="7"/>
      <c r="U26" s="7"/>
      <c r="V26" s="7"/>
      <c r="W26" s="7"/>
      <c r="X26" s="7"/>
      <c r="Y26" s="7"/>
      <c r="Z26" s="7"/>
    </row>
    <row r="27" spans="1:27" ht="138" x14ac:dyDescent="0.3">
      <c r="A27" s="79" t="str">
        <f t="shared" ref="A27:A33" si="2">IF(OR(B27&lt;&gt;"",E27&lt;&gt;""),"["&amp;TEXT($B$2,"##")&amp;"_"&amp;"REMOVE_"&amp;TEXT(ROW()-8,"##")&amp;"]","")</f>
        <v>[COMP_PRDT_REMOVE_19]</v>
      </c>
      <c r="B27" s="118" t="s">
        <v>165</v>
      </c>
      <c r="C27" s="148" t="s">
        <v>194</v>
      </c>
      <c r="D27" s="148" t="s">
        <v>195</v>
      </c>
      <c r="E27" s="138" t="s">
        <v>123</v>
      </c>
      <c r="F27" s="147" t="s">
        <v>203</v>
      </c>
      <c r="G27" s="142" t="s">
        <v>35</v>
      </c>
      <c r="H27" s="143">
        <v>45674</v>
      </c>
      <c r="I27" s="142"/>
      <c r="J27" s="7"/>
      <c r="K27" s="7"/>
      <c r="L27" s="7"/>
      <c r="M27" s="7"/>
      <c r="N27" s="7"/>
      <c r="O27" s="7"/>
      <c r="P27" s="7"/>
      <c r="Q27" s="7"/>
      <c r="R27" s="7"/>
      <c r="S27" s="7"/>
      <c r="T27" s="7"/>
      <c r="U27" s="7"/>
      <c r="V27" s="7"/>
      <c r="W27" s="7"/>
      <c r="X27" s="7"/>
      <c r="Y27" s="7"/>
      <c r="Z27" s="7"/>
    </row>
    <row r="28" spans="1:27" ht="234.6" x14ac:dyDescent="0.3">
      <c r="A28" s="79" t="str">
        <f t="shared" si="2"/>
        <v>[COMP_PRDT_REMOVE_20]</v>
      </c>
      <c r="B28" s="118" t="s">
        <v>166</v>
      </c>
      <c r="C28" s="118" t="s">
        <v>127</v>
      </c>
      <c r="D28" s="148" t="s">
        <v>196</v>
      </c>
      <c r="E28" s="138" t="s">
        <v>129</v>
      </c>
      <c r="F28" s="146" t="s">
        <v>128</v>
      </c>
      <c r="G28" s="142" t="s">
        <v>37</v>
      </c>
      <c r="H28" s="143">
        <v>45674</v>
      </c>
      <c r="I28" s="142"/>
      <c r="J28" s="7"/>
      <c r="K28" s="7"/>
      <c r="L28" s="7"/>
      <c r="M28" s="7"/>
      <c r="N28" s="7"/>
      <c r="O28" s="7"/>
      <c r="P28" s="7"/>
      <c r="Q28" s="7"/>
      <c r="R28" s="7"/>
      <c r="S28" s="7"/>
      <c r="T28" s="7"/>
      <c r="U28" s="7"/>
      <c r="V28" s="7"/>
      <c r="W28" s="7"/>
      <c r="X28" s="7"/>
      <c r="Y28" s="7"/>
      <c r="Z28" s="7"/>
    </row>
    <row r="29" spans="1:27" ht="331.2" x14ac:dyDescent="0.3">
      <c r="A29" s="79" t="str">
        <f t="shared" si="2"/>
        <v>[COMP_PRDT_REMOVE_21]</v>
      </c>
      <c r="B29" s="118" t="s">
        <v>197</v>
      </c>
      <c r="C29" s="118" t="s">
        <v>127</v>
      </c>
      <c r="D29" s="148" t="s">
        <v>198</v>
      </c>
      <c r="E29" s="138" t="s">
        <v>134</v>
      </c>
      <c r="F29" s="146" t="s">
        <v>135</v>
      </c>
      <c r="G29" s="142" t="s">
        <v>35</v>
      </c>
      <c r="H29" s="143">
        <v>45674</v>
      </c>
      <c r="I29" s="142"/>
      <c r="J29" s="7"/>
      <c r="K29" s="7"/>
      <c r="L29" s="7"/>
      <c r="M29" s="7"/>
      <c r="N29" s="7"/>
      <c r="O29" s="7"/>
      <c r="P29" s="7"/>
      <c r="Q29" s="7"/>
      <c r="R29" s="7"/>
      <c r="S29" s="7"/>
      <c r="T29" s="7"/>
      <c r="U29" s="7"/>
      <c r="V29" s="7"/>
      <c r="W29" s="7"/>
      <c r="X29" s="7"/>
      <c r="Y29" s="7"/>
      <c r="Z29" s="7"/>
    </row>
    <row r="30" spans="1:27" ht="165.6" x14ac:dyDescent="0.3">
      <c r="A30" s="79" t="str">
        <f t="shared" si="2"/>
        <v>[COMP_PRDT_REMOVE_22]</v>
      </c>
      <c r="B30" s="118" t="s">
        <v>173</v>
      </c>
      <c r="C30" s="148" t="s">
        <v>192</v>
      </c>
      <c r="D30" s="148" t="s">
        <v>199</v>
      </c>
      <c r="E30" s="138" t="s">
        <v>133</v>
      </c>
      <c r="F30" s="146" t="s">
        <v>130</v>
      </c>
      <c r="G30" s="142" t="s">
        <v>35</v>
      </c>
      <c r="H30" s="143">
        <v>45674</v>
      </c>
      <c r="I30" s="142"/>
      <c r="J30" s="7"/>
      <c r="K30" s="7"/>
      <c r="L30" s="7"/>
      <c r="M30" s="7"/>
      <c r="N30" s="7"/>
      <c r="O30" s="7"/>
      <c r="P30" s="7"/>
      <c r="Q30" s="7"/>
      <c r="R30" s="7"/>
      <c r="S30" s="7"/>
      <c r="T30" s="7"/>
      <c r="U30" s="7"/>
      <c r="V30" s="7"/>
      <c r="W30" s="7"/>
      <c r="X30" s="7"/>
      <c r="Y30" s="7"/>
      <c r="Z30" s="7"/>
    </row>
    <row r="31" spans="1:27" ht="138" x14ac:dyDescent="0.3">
      <c r="A31" s="79" t="str">
        <f t="shared" si="2"/>
        <v>[COMP_PRDT_REMOVE_23]</v>
      </c>
      <c r="B31" s="118" t="s">
        <v>174</v>
      </c>
      <c r="C31" s="148" t="s">
        <v>194</v>
      </c>
      <c r="D31" s="148" t="s">
        <v>195</v>
      </c>
      <c r="E31" s="138" t="s">
        <v>123</v>
      </c>
      <c r="F31" s="147" t="s">
        <v>84</v>
      </c>
      <c r="G31" s="142" t="s">
        <v>35</v>
      </c>
      <c r="H31" s="143">
        <v>45674</v>
      </c>
      <c r="I31" s="142"/>
      <c r="J31" s="7"/>
      <c r="K31" s="7"/>
      <c r="L31" s="7"/>
      <c r="M31" s="7"/>
      <c r="N31" s="7"/>
      <c r="O31" s="7"/>
      <c r="P31" s="7"/>
      <c r="Q31" s="7"/>
      <c r="R31" s="7"/>
      <c r="S31" s="7"/>
      <c r="T31" s="7"/>
      <c r="U31" s="7"/>
      <c r="V31" s="7"/>
      <c r="W31" s="7"/>
      <c r="X31" s="7"/>
      <c r="Y31" s="7"/>
      <c r="Z31" s="7"/>
    </row>
    <row r="32" spans="1:27" ht="110.4" x14ac:dyDescent="0.3">
      <c r="A32" s="79" t="str">
        <f t="shared" si="2"/>
        <v>[COMP_PRDT_REMOVE_24]</v>
      </c>
      <c r="B32" s="118" t="s">
        <v>175</v>
      </c>
      <c r="C32" s="118" t="s">
        <v>88</v>
      </c>
      <c r="D32" s="148" t="s">
        <v>200</v>
      </c>
      <c r="E32" s="138" t="s">
        <v>132</v>
      </c>
      <c r="F32" s="146"/>
      <c r="G32" s="142" t="s">
        <v>35</v>
      </c>
      <c r="H32" s="143">
        <v>45674</v>
      </c>
      <c r="I32" s="142"/>
      <c r="J32" s="7"/>
      <c r="K32" s="7"/>
      <c r="L32" s="7"/>
      <c r="M32" s="7"/>
      <c r="N32" s="7"/>
      <c r="O32" s="7"/>
      <c r="P32" s="7"/>
      <c r="Q32" s="7"/>
      <c r="R32" s="7"/>
      <c r="S32" s="7"/>
      <c r="T32" s="7"/>
      <c r="U32" s="7"/>
      <c r="V32" s="7"/>
      <c r="W32" s="7"/>
      <c r="X32" s="7"/>
      <c r="Y32" s="7"/>
      <c r="Z32" s="7"/>
    </row>
    <row r="33" spans="1:26" ht="124.2" x14ac:dyDescent="0.3">
      <c r="A33" s="79" t="str">
        <f t="shared" si="2"/>
        <v>[COMP_PRDT_REMOVE_25]</v>
      </c>
      <c r="B33" s="118" t="s">
        <v>176</v>
      </c>
      <c r="C33" s="118" t="s">
        <v>136</v>
      </c>
      <c r="D33" s="148" t="s">
        <v>201</v>
      </c>
      <c r="E33" s="138" t="s">
        <v>118</v>
      </c>
      <c r="F33" s="146" t="s">
        <v>137</v>
      </c>
      <c r="G33" s="142" t="s">
        <v>35</v>
      </c>
      <c r="H33" s="143">
        <v>45674</v>
      </c>
      <c r="I33" s="142"/>
      <c r="J33" s="7"/>
      <c r="K33" s="7"/>
      <c r="L33" s="7"/>
      <c r="M33" s="7"/>
      <c r="N33" s="7"/>
      <c r="O33" s="7"/>
      <c r="P33" s="7"/>
      <c r="Q33" s="7"/>
      <c r="R33" s="7"/>
      <c r="S33" s="7"/>
      <c r="T33" s="7"/>
      <c r="U33" s="7"/>
      <c r="V33" s="7"/>
      <c r="W33" s="7"/>
      <c r="X33" s="7"/>
      <c r="Y33" s="7"/>
      <c r="Z33" s="7"/>
    </row>
    <row r="34" spans="1:26" ht="151.80000000000001" x14ac:dyDescent="0.3">
      <c r="A34" s="79" t="str">
        <f>IF(OR(B34&lt;&gt;"",E34&lt;&gt;""),"["&amp;TEXT($B$2,"##")&amp;"_"&amp;"REMOVE_"&amp;TEXT(ROW()-8,"##")&amp;"]","")</f>
        <v>[COMP_PRDT_REMOVE_26]</v>
      </c>
      <c r="B34" s="118" t="s">
        <v>205</v>
      </c>
      <c r="C34" s="148" t="s">
        <v>208</v>
      </c>
      <c r="D34" s="148" t="s">
        <v>209</v>
      </c>
      <c r="E34" s="138" t="s">
        <v>210</v>
      </c>
      <c r="F34" s="146"/>
      <c r="G34" s="142" t="s">
        <v>35</v>
      </c>
      <c r="H34" s="143">
        <v>45674</v>
      </c>
      <c r="I34" s="142"/>
      <c r="J34" s="126"/>
      <c r="K34" s="126"/>
      <c r="L34" s="126"/>
      <c r="M34" s="126"/>
      <c r="N34" s="126"/>
      <c r="O34" s="126"/>
      <c r="P34" s="126"/>
      <c r="Q34" s="126"/>
      <c r="R34" s="126"/>
      <c r="S34" s="126"/>
      <c r="T34" s="126"/>
      <c r="U34" s="126"/>
      <c r="V34" s="126"/>
      <c r="W34" s="126"/>
      <c r="X34" s="126"/>
      <c r="Y34" s="126"/>
      <c r="Z34" s="126"/>
    </row>
    <row r="35" spans="1:26" ht="179.4" x14ac:dyDescent="0.3">
      <c r="A35" s="79" t="str">
        <f>IF(OR(B35&lt;&gt;"",E35&lt;&gt;""),"["&amp;TEXT($B$2,"##")&amp;"_"&amp;"REMOVE_"&amp;TEXT(ROW()-8,"##")&amp;"]","")</f>
        <v>[COMP_PRDT_REMOVE_27]</v>
      </c>
      <c r="B35" s="118" t="s">
        <v>211</v>
      </c>
      <c r="C35" s="148" t="s">
        <v>212</v>
      </c>
      <c r="D35" s="148" t="s">
        <v>213</v>
      </c>
      <c r="E35" s="138" t="s">
        <v>214</v>
      </c>
      <c r="F35" s="146" t="s">
        <v>215</v>
      </c>
      <c r="G35" s="142" t="s">
        <v>35</v>
      </c>
      <c r="H35" s="143">
        <v>45674</v>
      </c>
      <c r="I35" s="142"/>
      <c r="J35" s="126"/>
      <c r="K35" s="126"/>
      <c r="L35" s="126"/>
      <c r="M35" s="126"/>
      <c r="N35" s="126"/>
      <c r="O35" s="126"/>
      <c r="P35" s="126"/>
      <c r="Q35" s="126"/>
      <c r="R35" s="126"/>
      <c r="S35" s="126"/>
      <c r="T35" s="126"/>
      <c r="U35" s="126"/>
      <c r="V35" s="126"/>
      <c r="W35" s="126"/>
      <c r="X35" s="126"/>
      <c r="Y35" s="126"/>
      <c r="Z35" s="126"/>
    </row>
    <row r="36" spans="1:26" ht="207" x14ac:dyDescent="0.3">
      <c r="A36" s="79" t="str">
        <f>IF(OR(B36&lt;&gt;"",E36&lt;&gt;""),"["&amp;TEXT($B$2,"##")&amp;"_"&amp;"REMOVE_"&amp;TEXT(ROW()-8,"##")&amp;"]","")</f>
        <v>[COMP_PRDT_REMOVE_28]</v>
      </c>
      <c r="B36" s="118" t="s">
        <v>216</v>
      </c>
      <c r="C36" s="149" t="s">
        <v>217</v>
      </c>
      <c r="D36" s="148" t="s">
        <v>220</v>
      </c>
      <c r="E36" s="138" t="s">
        <v>221</v>
      </c>
      <c r="F36" s="146"/>
      <c r="G36" s="142" t="s">
        <v>35</v>
      </c>
      <c r="H36" s="143">
        <v>45674</v>
      </c>
      <c r="I36" s="142"/>
      <c r="J36" s="126"/>
      <c r="K36" s="126"/>
      <c r="L36" s="126"/>
      <c r="M36" s="126"/>
      <c r="N36" s="126"/>
      <c r="O36" s="126"/>
      <c r="P36" s="126"/>
      <c r="Q36" s="126"/>
      <c r="R36" s="126"/>
      <c r="S36" s="126"/>
      <c r="T36" s="126"/>
      <c r="U36" s="126"/>
      <c r="V36" s="126"/>
      <c r="W36" s="126"/>
      <c r="X36" s="126"/>
      <c r="Y36" s="126"/>
      <c r="Z36" s="126"/>
    </row>
    <row r="37" spans="1:26" ht="207" x14ac:dyDescent="0.3">
      <c r="A37" s="79" t="str">
        <f>IF(OR(B37&lt;&gt;"",E37&lt;&gt;""),"["&amp;TEXT($B$2,"##")&amp;"_"&amp;"REMOVE_"&amp;TEXT(ROW()-8,"##")&amp;"]","")</f>
        <v>[COMP_PRDT_REMOVE_29]</v>
      </c>
      <c r="B37" s="118" t="s">
        <v>218</v>
      </c>
      <c r="C37" s="149" t="s">
        <v>219</v>
      </c>
      <c r="D37" s="148" t="s">
        <v>223</v>
      </c>
      <c r="E37" s="138" t="s">
        <v>224</v>
      </c>
      <c r="F37" s="146"/>
      <c r="G37" s="142" t="s">
        <v>35</v>
      </c>
      <c r="H37" s="143">
        <v>45674</v>
      </c>
      <c r="I37" s="142"/>
      <c r="J37" s="126"/>
      <c r="K37" s="126"/>
      <c r="L37" s="126"/>
      <c r="M37" s="126"/>
      <c r="N37" s="126"/>
      <c r="O37" s="126"/>
      <c r="P37" s="126"/>
      <c r="Q37" s="126"/>
      <c r="R37" s="126"/>
      <c r="S37" s="126"/>
      <c r="T37" s="126"/>
      <c r="U37" s="126"/>
      <c r="V37" s="126"/>
      <c r="W37" s="126"/>
      <c r="X37" s="126"/>
      <c r="Y37" s="126"/>
      <c r="Z37" s="126"/>
    </row>
    <row r="38" spans="1:26" ht="193.2" x14ac:dyDescent="0.3">
      <c r="A38" s="79" t="str">
        <f t="shared" ref="A38:A39" si="3">IF(OR(B38&lt;&gt;"",E38&lt;&gt;""),"["&amp;TEXT($B$2,"##")&amp;"_"&amp;"REMOVE_"&amp;TEXT(ROW()-8,"##")&amp;"]","")</f>
        <v>[COMP_PRDT_REMOVE_30]</v>
      </c>
      <c r="B38" s="118" t="s">
        <v>239</v>
      </c>
      <c r="C38" s="150" t="s">
        <v>240</v>
      </c>
      <c r="D38" s="148" t="s">
        <v>242</v>
      </c>
      <c r="E38" s="138" t="s">
        <v>243</v>
      </c>
      <c r="F38" s="146"/>
      <c r="G38" s="142" t="s">
        <v>35</v>
      </c>
      <c r="H38" s="143">
        <v>45674</v>
      </c>
      <c r="I38" s="142"/>
      <c r="J38" s="126"/>
      <c r="K38" s="126"/>
      <c r="L38" s="126"/>
      <c r="M38" s="126"/>
      <c r="N38" s="126"/>
      <c r="O38" s="126"/>
      <c r="P38" s="126"/>
      <c r="Q38" s="126"/>
      <c r="R38" s="126"/>
      <c r="S38" s="126"/>
      <c r="T38" s="126"/>
      <c r="U38" s="126"/>
      <c r="V38" s="126"/>
      <c r="W38" s="126"/>
      <c r="X38" s="126"/>
      <c r="Y38" s="126"/>
      <c r="Z38" s="126"/>
    </row>
    <row r="39" spans="1:26" ht="124.2" x14ac:dyDescent="0.3">
      <c r="A39" s="79" t="str">
        <f t="shared" si="3"/>
        <v>[COMP_PRDT_REMOVE_31]</v>
      </c>
      <c r="B39" s="118" t="s">
        <v>244</v>
      </c>
      <c r="C39" s="149" t="s">
        <v>241</v>
      </c>
      <c r="D39" s="148" t="s">
        <v>242</v>
      </c>
      <c r="E39" s="138" t="s">
        <v>245</v>
      </c>
      <c r="F39" s="146"/>
      <c r="G39" s="142" t="s">
        <v>35</v>
      </c>
      <c r="H39" s="143">
        <v>45674</v>
      </c>
      <c r="I39" s="142"/>
      <c r="J39" s="126"/>
      <c r="K39" s="126"/>
      <c r="L39" s="126"/>
      <c r="M39" s="126"/>
      <c r="N39" s="126"/>
      <c r="O39" s="126"/>
      <c r="P39" s="126"/>
      <c r="Q39" s="126"/>
      <c r="R39" s="126"/>
      <c r="S39" s="126"/>
      <c r="T39" s="126"/>
      <c r="U39" s="126"/>
      <c r="V39" s="126"/>
      <c r="W39" s="126"/>
      <c r="X39" s="126"/>
      <c r="Y39" s="126"/>
      <c r="Z39" s="126"/>
    </row>
    <row r="40" spans="1:26" ht="165.6" x14ac:dyDescent="0.3">
      <c r="A40" s="79" t="str">
        <f>IF(OR(B40&lt;&gt;"",E40&lt;&gt;""),"["&amp;TEXT($B$2,"##")&amp;"_"&amp;"COMPARE_"&amp;TEXT(ROW()-8,"##")&amp;"]","")</f>
        <v>[COMP_PRDT_COMPARE_32]</v>
      </c>
      <c r="B40" s="118" t="s">
        <v>168</v>
      </c>
      <c r="C40" s="118" t="s">
        <v>121</v>
      </c>
      <c r="D40" s="148" t="s">
        <v>202</v>
      </c>
      <c r="E40" s="138" t="s">
        <v>138</v>
      </c>
      <c r="F40" s="146" t="s">
        <v>222</v>
      </c>
      <c r="G40" s="142" t="s">
        <v>35</v>
      </c>
      <c r="H40" s="143">
        <v>45674</v>
      </c>
      <c r="I40" s="142"/>
      <c r="J40" s="7"/>
      <c r="K40" s="7"/>
      <c r="L40" s="7"/>
      <c r="M40" s="7"/>
      <c r="N40" s="7"/>
      <c r="O40" s="7"/>
      <c r="P40" s="7"/>
      <c r="Q40" s="7"/>
      <c r="R40" s="7"/>
      <c r="S40" s="7"/>
      <c r="T40" s="7"/>
      <c r="U40" s="7"/>
      <c r="V40" s="7"/>
      <c r="W40" s="7"/>
      <c r="X40" s="7"/>
      <c r="Y40" s="7"/>
      <c r="Z40" s="7"/>
    </row>
    <row r="41" spans="1:26" ht="220.8" x14ac:dyDescent="0.3">
      <c r="A41" s="79" t="str">
        <f t="shared" ref="A41:A44" si="4">IF(OR(B41&lt;&gt;"",E41&lt;&gt;""),"["&amp;TEXT($B$2,"##")&amp;"_"&amp;"COMPARE_"&amp;TEXT(ROW()-8,"##")&amp;"]","")</f>
        <v>[COMP_PRDT_COMPARE_33]</v>
      </c>
      <c r="B41" s="118" t="s">
        <v>169</v>
      </c>
      <c r="C41" s="118" t="s">
        <v>121</v>
      </c>
      <c r="D41" s="148" t="s">
        <v>268</v>
      </c>
      <c r="E41" s="138" t="s">
        <v>141</v>
      </c>
      <c r="F41" s="146" t="s">
        <v>140</v>
      </c>
      <c r="G41" s="142" t="s">
        <v>35</v>
      </c>
      <c r="H41" s="143">
        <v>45674</v>
      </c>
      <c r="I41" s="142"/>
      <c r="J41" s="7"/>
      <c r="K41" s="7"/>
      <c r="L41" s="7"/>
      <c r="M41" s="7"/>
      <c r="N41" s="7"/>
      <c r="O41" s="7"/>
      <c r="P41" s="7"/>
      <c r="Q41" s="7"/>
      <c r="R41" s="7"/>
      <c r="S41" s="7"/>
      <c r="T41" s="7"/>
      <c r="U41" s="7"/>
      <c r="V41" s="7"/>
      <c r="W41" s="7"/>
      <c r="X41" s="7"/>
      <c r="Y41" s="7"/>
      <c r="Z41" s="7"/>
    </row>
    <row r="42" spans="1:26" ht="193.2" x14ac:dyDescent="0.3">
      <c r="A42" s="79" t="str">
        <f t="shared" si="4"/>
        <v>[COMP_PRDT_COMPARE_34]</v>
      </c>
      <c r="B42" s="118" t="s">
        <v>170</v>
      </c>
      <c r="C42" s="118" t="s">
        <v>228</v>
      </c>
      <c r="D42" s="148" t="s">
        <v>269</v>
      </c>
      <c r="E42" s="138" t="s">
        <v>275</v>
      </c>
      <c r="F42" s="146" t="s">
        <v>229</v>
      </c>
      <c r="G42" s="142" t="s">
        <v>37</v>
      </c>
      <c r="H42" s="143">
        <v>45674</v>
      </c>
      <c r="I42" s="142"/>
      <c r="J42" s="7"/>
      <c r="K42" s="7"/>
      <c r="L42" s="7"/>
      <c r="M42" s="7"/>
      <c r="N42" s="7"/>
      <c r="O42" s="7"/>
      <c r="P42" s="7"/>
      <c r="Q42" s="7"/>
      <c r="R42" s="7"/>
      <c r="S42" s="7"/>
      <c r="T42" s="7"/>
      <c r="U42" s="7"/>
      <c r="V42" s="7"/>
      <c r="W42" s="7"/>
      <c r="X42" s="7"/>
      <c r="Y42" s="7"/>
      <c r="Z42" s="7"/>
    </row>
    <row r="43" spans="1:26" ht="207" x14ac:dyDescent="0.3">
      <c r="A43" s="79" t="str">
        <f>IF(OR(B43&lt;&gt;"",E43&lt;&gt;""),"["&amp;TEXT($B$2,"##")&amp;"_"&amp;"COMPARE_"&amp;TEXT(ROW()-8,"##")&amp;"]","")</f>
        <v>[COMP_PRDT_COMPARE_35]</v>
      </c>
      <c r="B43" s="118" t="s">
        <v>267</v>
      </c>
      <c r="C43" s="118" t="s">
        <v>228</v>
      </c>
      <c r="D43" s="148" t="s">
        <v>273</v>
      </c>
      <c r="E43" s="138" t="s">
        <v>274</v>
      </c>
      <c r="F43" s="146"/>
      <c r="G43" s="142" t="s">
        <v>35</v>
      </c>
      <c r="H43" s="143"/>
      <c r="I43" s="142"/>
      <c r="J43" s="126"/>
      <c r="K43" s="126"/>
      <c r="L43" s="126"/>
      <c r="M43" s="126"/>
      <c r="N43" s="126"/>
      <c r="O43" s="126"/>
      <c r="P43" s="126"/>
      <c r="Q43" s="126"/>
      <c r="R43" s="126"/>
      <c r="S43" s="126"/>
      <c r="T43" s="126"/>
      <c r="U43" s="126"/>
      <c r="V43" s="126"/>
      <c r="W43" s="126"/>
      <c r="X43" s="126"/>
      <c r="Y43" s="126"/>
      <c r="Z43" s="126"/>
    </row>
    <row r="44" spans="1:26" ht="234.6" x14ac:dyDescent="0.3">
      <c r="A44" s="79" t="str">
        <f t="shared" si="4"/>
        <v>[COMP_PRDT_COMPARE_36]</v>
      </c>
      <c r="B44" s="118" t="s">
        <v>171</v>
      </c>
      <c r="C44" s="118" t="s">
        <v>228</v>
      </c>
      <c r="D44" s="148" t="s">
        <v>230</v>
      </c>
      <c r="E44" s="138" t="s">
        <v>142</v>
      </c>
      <c r="F44" s="146"/>
      <c r="G44" s="142" t="s">
        <v>35</v>
      </c>
      <c r="H44" s="143">
        <v>45674</v>
      </c>
      <c r="I44" s="142"/>
      <c r="J44" s="7"/>
      <c r="K44" s="7"/>
      <c r="L44" s="7"/>
      <c r="M44" s="7"/>
      <c r="N44" s="7"/>
      <c r="O44" s="7"/>
      <c r="P44" s="7"/>
      <c r="Q44" s="7"/>
      <c r="R44" s="7"/>
      <c r="S44" s="7"/>
      <c r="T44" s="7"/>
      <c r="U44" s="7"/>
      <c r="V44" s="7"/>
      <c r="W44" s="7"/>
      <c r="X44" s="7"/>
      <c r="Y44" s="7"/>
      <c r="Z44" s="7"/>
    </row>
    <row r="45" spans="1:26" ht="262.2" x14ac:dyDescent="0.3">
      <c r="A45" s="79" t="str">
        <f>IF(OR(B45&lt;&gt;"",E45&lt;&gt;""),"["&amp;TEXT($B$2,"##")&amp;"_"&amp;"COMPARE_"&amp;TEXT(ROW()-8,"##")&amp;"]","")</f>
        <v>[COMP_PRDT_COMPARE_37]</v>
      </c>
      <c r="B45" s="118" t="s">
        <v>172</v>
      </c>
      <c r="C45" s="118" t="s">
        <v>231</v>
      </c>
      <c r="D45" s="148" t="s">
        <v>232</v>
      </c>
      <c r="E45" s="138" t="s">
        <v>278</v>
      </c>
      <c r="F45" s="146"/>
      <c r="G45" s="142" t="s">
        <v>37</v>
      </c>
      <c r="H45" s="143">
        <v>45674</v>
      </c>
      <c r="I45" s="142"/>
      <c r="J45" s="7"/>
      <c r="K45" s="7"/>
      <c r="L45" s="7"/>
      <c r="M45" s="7"/>
      <c r="N45" s="7"/>
      <c r="O45" s="7"/>
      <c r="P45" s="7"/>
      <c r="Q45" s="7"/>
      <c r="R45" s="7"/>
      <c r="S45" s="7"/>
      <c r="T45" s="7"/>
      <c r="U45" s="7"/>
      <c r="V45" s="7"/>
      <c r="W45" s="7"/>
      <c r="X45" s="7"/>
      <c r="Y45" s="7"/>
      <c r="Z45" s="7"/>
    </row>
    <row r="46" spans="1:26" ht="289.8" x14ac:dyDescent="0.3">
      <c r="A46" s="79" t="str">
        <f t="shared" ref="A46:A50" si="5">IF(OR(B46&lt;&gt;"",E46&lt;&gt;""),"["&amp;TEXT($B$2,"##")&amp;"_"&amp;"COMPARE_"&amp;TEXT(ROW()-8,"##")&amp;"]","")</f>
        <v>[COMP_PRDT_COMPARE_38]</v>
      </c>
      <c r="B46" s="118" t="s">
        <v>227</v>
      </c>
      <c r="C46" s="118" t="s">
        <v>228</v>
      </c>
      <c r="D46" s="148" t="s">
        <v>276</v>
      </c>
      <c r="E46" s="138" t="s">
        <v>277</v>
      </c>
      <c r="F46" s="146"/>
      <c r="G46" s="142" t="s">
        <v>35</v>
      </c>
      <c r="H46" s="143">
        <v>45674</v>
      </c>
      <c r="I46" s="142"/>
      <c r="J46" s="126"/>
      <c r="K46" s="126"/>
      <c r="L46" s="126"/>
      <c r="M46" s="126"/>
      <c r="N46" s="126"/>
      <c r="O46" s="126"/>
      <c r="P46" s="126"/>
      <c r="Q46" s="126"/>
      <c r="R46" s="126"/>
      <c r="S46" s="126"/>
      <c r="T46" s="126"/>
      <c r="U46" s="126"/>
      <c r="V46" s="126"/>
      <c r="W46" s="126"/>
      <c r="X46" s="126"/>
      <c r="Y46" s="126"/>
      <c r="Z46" s="126"/>
    </row>
    <row r="47" spans="1:26" ht="248.4" x14ac:dyDescent="0.3">
      <c r="A47" s="79" t="str">
        <f t="shared" si="5"/>
        <v>[COMP_PRDT_COMPARE_39]</v>
      </c>
      <c r="B47" s="118" t="s">
        <v>233</v>
      </c>
      <c r="C47" s="118" t="s">
        <v>228</v>
      </c>
      <c r="D47" s="148" t="s">
        <v>283</v>
      </c>
      <c r="E47" s="138" t="s">
        <v>284</v>
      </c>
      <c r="F47" s="146"/>
      <c r="G47" s="142" t="s">
        <v>37</v>
      </c>
      <c r="H47" s="143">
        <v>45674</v>
      </c>
      <c r="I47" s="142"/>
      <c r="J47" s="126"/>
      <c r="K47" s="126"/>
      <c r="L47" s="126"/>
      <c r="M47" s="126"/>
      <c r="N47" s="126"/>
      <c r="O47" s="126"/>
      <c r="P47" s="126"/>
      <c r="Q47" s="126"/>
      <c r="R47" s="126"/>
      <c r="S47" s="126"/>
      <c r="T47" s="126"/>
      <c r="U47" s="126"/>
      <c r="V47" s="126"/>
      <c r="W47" s="126"/>
      <c r="X47" s="126"/>
      <c r="Y47" s="126"/>
      <c r="Z47" s="126"/>
    </row>
    <row r="48" spans="1:26" ht="248.4" x14ac:dyDescent="0.3">
      <c r="A48" s="79" t="str">
        <f t="shared" si="5"/>
        <v>[COMP_PRDT_COMPARE_40]</v>
      </c>
      <c r="B48" s="118" t="s">
        <v>236</v>
      </c>
      <c r="C48" s="118" t="s">
        <v>228</v>
      </c>
      <c r="D48" s="148" t="s">
        <v>285</v>
      </c>
      <c r="E48" s="138" t="s">
        <v>286</v>
      </c>
      <c r="F48" s="146"/>
      <c r="G48" s="142" t="s">
        <v>37</v>
      </c>
      <c r="H48" s="143">
        <v>45674</v>
      </c>
      <c r="I48" s="142"/>
      <c r="J48" s="126"/>
      <c r="K48" s="126"/>
      <c r="L48" s="126"/>
      <c r="M48" s="126"/>
      <c r="N48" s="126"/>
      <c r="O48" s="126"/>
      <c r="P48" s="126"/>
      <c r="Q48" s="126"/>
      <c r="R48" s="126"/>
      <c r="S48" s="126"/>
      <c r="T48" s="126"/>
      <c r="U48" s="126"/>
      <c r="V48" s="126"/>
      <c r="W48" s="126"/>
      <c r="X48" s="126"/>
      <c r="Y48" s="126"/>
      <c r="Z48" s="126"/>
    </row>
    <row r="49" spans="1:26" ht="289.8" x14ac:dyDescent="0.3">
      <c r="A49" s="79" t="str">
        <f t="shared" si="5"/>
        <v>[COMP_PRDT_COMPARE_41]</v>
      </c>
      <c r="B49" s="118" t="s">
        <v>233</v>
      </c>
      <c r="C49" s="118" t="s">
        <v>228</v>
      </c>
      <c r="D49" s="148" t="s">
        <v>234</v>
      </c>
      <c r="E49" s="138" t="s">
        <v>235</v>
      </c>
      <c r="F49" s="146"/>
      <c r="G49" s="142" t="s">
        <v>35</v>
      </c>
      <c r="H49" s="143">
        <v>45674</v>
      </c>
      <c r="I49" s="142"/>
      <c r="J49" s="126"/>
      <c r="K49" s="126"/>
      <c r="L49" s="126"/>
      <c r="M49" s="126"/>
      <c r="N49" s="126"/>
      <c r="O49" s="126"/>
      <c r="P49" s="126"/>
      <c r="Q49" s="126"/>
      <c r="R49" s="126"/>
      <c r="S49" s="126"/>
      <c r="T49" s="126"/>
      <c r="U49" s="126"/>
      <c r="V49" s="126"/>
      <c r="W49" s="126"/>
      <c r="X49" s="126"/>
      <c r="Y49" s="126"/>
      <c r="Z49" s="126"/>
    </row>
    <row r="50" spans="1:26" ht="193.2" x14ac:dyDescent="0.3">
      <c r="A50" s="79" t="str">
        <f t="shared" si="5"/>
        <v>[COMP_PRDT_COMPARE_42]</v>
      </c>
      <c r="B50" s="118" t="s">
        <v>237</v>
      </c>
      <c r="C50" s="118" t="s">
        <v>121</v>
      </c>
      <c r="D50" s="148" t="s">
        <v>238</v>
      </c>
      <c r="E50" s="138" t="s">
        <v>143</v>
      </c>
      <c r="F50" s="146"/>
      <c r="G50" s="142" t="s">
        <v>35</v>
      </c>
      <c r="H50" s="143">
        <v>45674</v>
      </c>
      <c r="I50" s="142"/>
      <c r="J50" s="126"/>
      <c r="K50" s="126"/>
      <c r="L50" s="126"/>
      <c r="M50" s="126"/>
      <c r="N50" s="126"/>
      <c r="O50" s="126"/>
      <c r="P50" s="126"/>
      <c r="Q50" s="126"/>
      <c r="R50" s="126"/>
      <c r="S50" s="126"/>
      <c r="T50" s="126"/>
      <c r="U50" s="126"/>
      <c r="V50" s="126"/>
      <c r="W50" s="126"/>
      <c r="X50" s="126"/>
      <c r="Y50" s="126"/>
      <c r="Z50" s="126"/>
    </row>
    <row r="51" spans="1:26" ht="220.8" x14ac:dyDescent="0.3">
      <c r="A51" s="79" t="str">
        <f>IF(OR(B51&lt;&gt;"",E51&lt;&gt;""),"["&amp;TEXT($B$2,"##")&amp;"_"&amp;"COMPARE_"&amp;TEXT(ROW()-8,"##")&amp;"]","")</f>
        <v>[COMP_PRDT_COMPARE_43]</v>
      </c>
      <c r="B51" s="151" t="s">
        <v>246</v>
      </c>
      <c r="C51" s="118" t="s">
        <v>121</v>
      </c>
      <c r="D51" s="148" t="s">
        <v>247</v>
      </c>
      <c r="E51" s="138" t="s">
        <v>248</v>
      </c>
      <c r="F51" s="152"/>
      <c r="G51" s="142" t="s">
        <v>35</v>
      </c>
      <c r="H51" s="143">
        <v>45674</v>
      </c>
      <c r="I51" s="142"/>
      <c r="J51" s="126"/>
      <c r="K51" s="126"/>
      <c r="L51" s="126"/>
      <c r="M51" s="126"/>
      <c r="N51" s="126"/>
      <c r="O51" s="126"/>
      <c r="P51" s="126"/>
      <c r="Q51" s="126"/>
      <c r="R51" s="126"/>
      <c r="S51" s="126"/>
      <c r="T51" s="126"/>
      <c r="U51" s="126"/>
      <c r="V51" s="126"/>
      <c r="W51" s="126"/>
      <c r="X51" s="126"/>
      <c r="Y51" s="126"/>
      <c r="Z51" s="126"/>
    </row>
    <row r="52" spans="1:26" ht="193.2" x14ac:dyDescent="0.3">
      <c r="A52" s="79" t="str">
        <f t="shared" ref="A52:A53" si="6">IF(OR(B52&lt;&gt;"",E52&lt;&gt;""),"["&amp;TEXT($B$2,"##")&amp;"_"&amp;"COMPARE_"&amp;TEXT(ROW()-8,"##")&amp;"]","")</f>
        <v>[COMP_PRDT_COMPARE_44]</v>
      </c>
      <c r="B52" s="151" t="s">
        <v>249</v>
      </c>
      <c r="C52" s="118" t="s">
        <v>121</v>
      </c>
      <c r="D52" s="148" t="s">
        <v>250</v>
      </c>
      <c r="E52" s="138" t="s">
        <v>251</v>
      </c>
      <c r="F52" s="146"/>
      <c r="G52" s="142" t="s">
        <v>35</v>
      </c>
      <c r="H52" s="143">
        <v>45674</v>
      </c>
      <c r="I52" s="142"/>
      <c r="J52" s="126"/>
      <c r="K52" s="126"/>
      <c r="L52" s="126"/>
      <c r="M52" s="126"/>
      <c r="N52" s="126"/>
      <c r="O52" s="126"/>
      <c r="P52" s="126"/>
      <c r="Q52" s="126"/>
      <c r="R52" s="126"/>
      <c r="S52" s="126"/>
      <c r="T52" s="126"/>
      <c r="U52" s="126"/>
      <c r="V52" s="126"/>
      <c r="W52" s="126"/>
      <c r="X52" s="126"/>
      <c r="Y52" s="126"/>
      <c r="Z52" s="126"/>
    </row>
    <row r="53" spans="1:26" ht="207" x14ac:dyDescent="0.3">
      <c r="A53" s="79" t="str">
        <f t="shared" si="6"/>
        <v>[COMP_PRDT_COMPARE_45]</v>
      </c>
      <c r="B53" s="151" t="s">
        <v>252</v>
      </c>
      <c r="C53" s="118" t="s">
        <v>121</v>
      </c>
      <c r="D53" s="148" t="s">
        <v>253</v>
      </c>
      <c r="E53" s="138" t="s">
        <v>254</v>
      </c>
      <c r="F53" s="146"/>
      <c r="G53" s="142" t="s">
        <v>35</v>
      </c>
      <c r="H53" s="143">
        <v>45674</v>
      </c>
      <c r="I53" s="142"/>
      <c r="J53" s="126"/>
      <c r="K53" s="126"/>
      <c r="L53" s="126"/>
      <c r="M53" s="126"/>
      <c r="N53" s="126"/>
      <c r="O53" s="126"/>
      <c r="P53" s="126"/>
      <c r="Q53" s="126"/>
      <c r="R53" s="126"/>
      <c r="S53" s="126"/>
      <c r="T53" s="126"/>
      <c r="U53" s="126"/>
      <c r="V53" s="126"/>
      <c r="W53" s="126"/>
      <c r="X53" s="126"/>
      <c r="Y53" s="126"/>
      <c r="Z53" s="126"/>
    </row>
    <row r="54" spans="1:26" ht="12.75" customHeight="1" x14ac:dyDescent="0.3">
      <c r="A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5" customHeight="1" x14ac:dyDescent="0.3">
      <c r="A996" s="7"/>
      <c r="B996" s="7"/>
      <c r="C996" s="7"/>
      <c r="D996" s="7"/>
      <c r="E996" s="7"/>
      <c r="F996" s="7"/>
      <c r="G996" s="7"/>
      <c r="H996" s="7"/>
      <c r="I996" s="83"/>
    </row>
    <row r="997" spans="1:26" ht="15" customHeight="1" x14ac:dyDescent="0.3">
      <c r="A997" s="7"/>
      <c r="B997" s="7"/>
      <c r="C997" s="7"/>
      <c r="D997" s="7"/>
      <c r="E997" s="7"/>
      <c r="F997" s="7"/>
      <c r="G997" s="7"/>
      <c r="H997" s="7"/>
      <c r="I997" s="83"/>
    </row>
    <row r="998" spans="1:26" ht="15" customHeight="1" x14ac:dyDescent="0.3">
      <c r="A998" s="7"/>
      <c r="B998" s="7"/>
      <c r="C998" s="7"/>
      <c r="D998" s="7"/>
      <c r="E998" s="7"/>
      <c r="F998" s="7"/>
      <c r="G998" s="7"/>
      <c r="H998" s="7"/>
      <c r="I998" s="83"/>
    </row>
    <row r="999" spans="1:26" ht="15" customHeight="1" x14ac:dyDescent="0.3">
      <c r="A999" s="7"/>
      <c r="B999" s="7"/>
      <c r="C999" s="7"/>
      <c r="D999" s="7"/>
      <c r="E999" s="7"/>
      <c r="F999" s="7"/>
      <c r="G999" s="7"/>
      <c r="H999" s="7"/>
      <c r="I999" s="83"/>
    </row>
    <row r="1000" spans="1:26" ht="15" customHeight="1" x14ac:dyDescent="0.3">
      <c r="A1000" s="7"/>
      <c r="B1000" s="7"/>
      <c r="C1000" s="7"/>
      <c r="D1000" s="7"/>
      <c r="E1000" s="7"/>
      <c r="F1000" s="7"/>
      <c r="G1000" s="7"/>
      <c r="H1000" s="7"/>
      <c r="I1000" s="83"/>
    </row>
    <row r="1001" spans="1:26" ht="15" customHeight="1" x14ac:dyDescent="0.3">
      <c r="A1001" s="7"/>
      <c r="B1001" s="7"/>
      <c r="C1001" s="7"/>
      <c r="D1001" s="7"/>
      <c r="E1001" s="7"/>
      <c r="F1001" s="7"/>
      <c r="G1001" s="7"/>
      <c r="H1001" s="7"/>
      <c r="I1001" s="83"/>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sheetData>
  <mergeCells count="5">
    <mergeCell ref="B2:I2"/>
    <mergeCell ref="B3:I3"/>
    <mergeCell ref="B4:I4"/>
    <mergeCell ref="F5:I5"/>
    <mergeCell ref="F6:I6"/>
  </mergeCells>
  <dataValidations count="1">
    <dataValidation type="list" allowBlank="1" showInputMessage="1" showErrorMessage="1" prompt=" - " sqref="F1 F7 F54:F179 G8:G53"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display="Trong thanh so sánh ở dưới trang web, đã có 3 sản phẩm: sản phẩm ô thứ nhất, thứ hai và thứ ba trong trang: https://www.thegioididong.com/dtdd" xr:uid="{F110D350-7E7D-4D00-8AC4-23B87345628D}"/>
    <hyperlink ref="D11" r:id="rId5" xr:uid="{548EB9D7-83F6-4F9A-9483-CE464BF62874}"/>
    <hyperlink ref="D12" r:id="rId6" display="https://www.thegioididong.com/dtdd" xr:uid="{D87685BD-42BD-4579-9C58-3C1DADABAD76}"/>
    <hyperlink ref="C14"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4" r:id="rId8" display="https://www.thegioididong.com/dtdd" xr:uid="{895BD568-8D2E-46AD-BE77-FF6A73AF6C9E}"/>
    <hyperlink ref="D15" r:id="rId9" display="https://www.thegioididong.com/dtdd" xr:uid="{596B4A34-A4A9-4A5C-84BA-F6A7CA7A2AB4}"/>
    <hyperlink ref="D16" r:id="rId10" xr:uid="{78A62DD8-0691-46FA-9D86-E2F770A5417F}"/>
    <hyperlink ref="D17"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18"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19"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23" r:id="rId14" xr:uid="{39FFD3A3-7BB5-49DD-B6B7-415D7FD5A31E}"/>
    <hyperlink ref="D24" r:id="rId15" display="https://www.thegioididong.com/dtdd" xr:uid="{366FE45B-84B7-4D16-9D52-8821FA4DF55F}"/>
    <hyperlink ref="D25" r:id="rId16"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6" r:id="rId17" xr:uid="{664B2F0F-8FAF-444C-9CBE-93814B0F1D69}"/>
    <hyperlink ref="D26" r:id="rId18" xr:uid="{58CF96F7-BEF8-4F4A-8BA2-4CA6553BD447}"/>
    <hyperlink ref="C27" r:id="rId19" xr:uid="{743946CB-9326-451E-8B9B-36EFA968090F}"/>
    <hyperlink ref="D27" r:id="rId20" xr:uid="{5FCA2E57-17FC-490A-A4A3-1FAAEF999A34}"/>
    <hyperlink ref="D28" r:id="rId21" xr:uid="{98C14F25-0548-4ECB-A21E-0D137BB738A5}"/>
    <hyperlink ref="D29" r:id="rId22" xr:uid="{61D2AA45-764F-4566-BB13-27A86C3F7475}"/>
    <hyperlink ref="C30" r:id="rId23" xr:uid="{EB9589FB-4EB8-4B62-B066-EAEABB5801B5}"/>
    <hyperlink ref="D30" r:id="rId24"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31" r:id="rId25" xr:uid="{2587D7E6-5064-4ED9-BB0C-B4684B9F2952}"/>
    <hyperlink ref="C31" r:id="rId26" xr:uid="{9127EAD7-EA07-42F6-BBCB-42A88BBDD1F5}"/>
    <hyperlink ref="D32" r:id="rId27" xr:uid="{0165E20B-7D27-40B3-B6A0-A8E16BBC5833}"/>
    <hyperlink ref="D33" r:id="rId28" xr:uid="{5048D1BA-0C65-4D79-A9BE-022CBE5C01AD}"/>
    <hyperlink ref="D40" r:id="rId29" display="https://www.thegioididong.com/dtdd" xr:uid="{BB9D894C-9AE7-4358-BE4D-3C412C271167}"/>
    <hyperlink ref="D41" r:id="rId30" display="Step:_x000a_1. Truy cập trang web: https://www.thegioididong.com/dtdd_x000a_2. Ở góc dưới trái trang web, nhấn nút [So sánh (2)] hoặc [So sánh (3)]_x000a_3. Click vào nút [So sánh ngay]_x000a_4. Tick vào ô &quot;Chỉ xem điểm khác biệt&quot;_x000a_5. Quan sát" xr:uid="{649516F2-E099-4DFA-A1C7-5513D25A3696}"/>
    <hyperlink ref="D42" r:id="rId31" display="Step:_x000a_1. Truy cập trang web: https://www.thegioididong.com/dtdd_x000a_2. Ở góc dưới trái trang web, nhấn nút [So sánh (1)] hoặc [So sánh (2)] hoặc [So sánh (3)]_x000a_3. Click vào nút [So sánh ngay]_x000a_4. Click vào nút [[+] Thêm sản phẩm]_x000a_5. Quan sát" xr:uid="{A6B576E8-320A-43C8-9FBA-219BFCE1C298}"/>
    <hyperlink ref="D44" r:id="rId3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45"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50" r:id="rId3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839BC8FD-2A58-4A01-836B-E4514B2A6691}"/>
    <hyperlink ref="C35" r:id="rId35" display="_x000a_- Đã có 1 sản phẩm hoặc 2 sản phẩm trong dữ liệu so sánh_x000a_- Đã truy cập vào chi tiết sản phẩm của ít nhất 1 sản phẩm trong ô sản phẩm_x000a_(ex:https://www.thegioididong.com/dtdd/samsung-galaxy-a16-8gb-128gb)" xr:uid="{869838DC-69EB-4C54-9D90-F09CCE29EB80}"/>
    <hyperlink ref="D35" r:id="rId36" display="https://www.thegioididong.com/dtdd" xr:uid="{4445CF76-E74C-4528-8C46-F50244DB1039}"/>
    <hyperlink ref="C34" r:id="rId37" display="_x000a_- Đã có 1 sản phẩm hoặc 2 sản phẩm trong dữ liệu so sánh_x000a_- Đã truy cập vào chi tiết sản phẩm của ít nhất 1 sản phẩm trong ô sản phẩm_x000a_(ex:https://www.thegioididong.com/dtdd/samsung-galaxy-a16-8gb-128gb)" xr:uid="{77652747-C969-438D-BBBF-E2AC32912F52}"/>
    <hyperlink ref="D34" r:id="rId38" display="https://www.thegioididong.com/dtdd" xr:uid="{9FEA4668-A738-4A3B-A98A-7A456AE61189}"/>
    <hyperlink ref="D36" r:id="rId39"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99DF306C-EE99-4FAC-8757-32F85539B03B}"/>
    <hyperlink ref="D37" r:id="rId40"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DD8AC30B-6DDF-4ED2-B738-184F09A7D111}"/>
    <hyperlink ref="D46" r:id="rId4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01CA9644-D12D-474E-B0D5-A05AACA14100}"/>
    <hyperlink ref="D47" r:id="rId4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CC65D68C-648A-48A7-B18B-E115D029E7AE}"/>
    <hyperlink ref="D48" r:id="rId4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1527AB27-77DA-4A6A-98E9-CB4046FFF890}"/>
    <hyperlink ref="D49" r:id="rId44"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DAC44028-8251-45FD-B81F-483992D87330}"/>
    <hyperlink ref="D38" r:id="rId45" display="https://www.thegioididong.com/dtdd/samsung-galaxy-s24-ultra-5g" xr:uid="{31F973D4-4F44-46BF-A164-8B4B0D4ABF80}"/>
    <hyperlink ref="D39" r:id="rId46" display="https://www.thegioididong.com/dtdd/samsung-galaxy-s24-ultra-5g" xr:uid="{8E026499-0D5C-4955-BEBE-9B6C83757A67}"/>
    <hyperlink ref="D51" r:id="rId47"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7CEF8AAD-A737-4B3D-9309-C68922357C06}"/>
    <hyperlink ref="D52" r:id="rId48"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9E52ED4-4E11-415F-80E9-49C35C84E801}"/>
    <hyperlink ref="D53" r:id="rId49"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64022DE-382D-4018-AA32-573671B64469}"/>
    <hyperlink ref="D22" r:id="rId50" xr:uid="{BB587AB1-46B1-4EB2-946A-C17179C5EF9C}"/>
    <hyperlink ref="D21" r:id="rId51" xr:uid="{B446C4A6-E150-4A65-A39C-11A4D3073C58}"/>
    <hyperlink ref="D13" r:id="rId52" display="https://www.thegioididong.com/dtdd" xr:uid="{C76975B8-4CBB-43A3-80C3-1DA07667B3A0}"/>
    <hyperlink ref="D43" r:id="rId53" display="Step:_x000a_1. Truy cập trang web: https://www.thegioididong.com/dtdd_x000a_2. Ở góc dưới trái trang web, nhấn nút [So sánh (1)] hoặc [So sánh (2)] hoặc [So sánh (3)]_x000a_3. Click vào nút [So sánh ngay]_x000a_4. Click vào nút [[+] Thêm sản phẩm]_x000a_5. Quan sát" xr:uid="{9C3D90F6-C0A7-4C7A-8799-CEEDEF4022E4}"/>
    <hyperlink ref="D20" r:id="rId54" display="https://www.thegioididong.com/dtdd/samsung-galaxy-s24-ultra-5g" xr:uid="{0C27BF17-411F-4978-B05E-489EB94BDF72}"/>
  </hyperlinks>
  <pageMargins left="0.7" right="0.7" top="0.75" bottom="0.75" header="0" footer="0"/>
  <pageSetup orientation="landscape" r:id="rId55"/>
  <headerFooter>
    <oddHeader>&amp;LFacilitate_Test Case\Company&amp;Rv1.0</oddHeader>
    <oddFooter>&amp;L 02ae-BM/PM/HDCV/FSOFT v2/0&amp;CInternal use&amp;R&amp;P/</oddFoot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G4" sqref="G4"/>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83" t="s">
        <v>50</v>
      </c>
      <c r="C1" s="184"/>
      <c r="D1" s="184"/>
      <c r="E1" s="184"/>
      <c r="F1" s="184"/>
      <c r="G1" s="184"/>
      <c r="H1" s="185"/>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70" t="str">
        <f>Cover!C4</f>
        <v>Thegioididong.com</v>
      </c>
      <c r="D3" s="158"/>
      <c r="E3" s="182" t="s">
        <v>2</v>
      </c>
      <c r="F3" s="158"/>
      <c r="G3" s="87" t="s">
        <v>61</v>
      </c>
      <c r="H3" s="88"/>
      <c r="I3" s="7"/>
      <c r="J3" s="7"/>
      <c r="K3" s="7"/>
      <c r="L3" s="7"/>
      <c r="M3" s="7"/>
      <c r="N3" s="7"/>
      <c r="O3" s="7"/>
      <c r="P3" s="7"/>
      <c r="Q3" s="7"/>
      <c r="R3" s="7"/>
      <c r="S3" s="7"/>
      <c r="T3" s="7"/>
      <c r="U3" s="7"/>
      <c r="V3" s="7"/>
      <c r="W3" s="7"/>
      <c r="X3" s="7"/>
      <c r="Y3" s="7"/>
      <c r="Z3" s="7"/>
    </row>
    <row r="4" spans="1:26" ht="12" customHeight="1" x14ac:dyDescent="0.3">
      <c r="A4" s="7"/>
      <c r="B4" s="86" t="s">
        <v>3</v>
      </c>
      <c r="C4" s="170" t="str">
        <f>Cover!C5</f>
        <v>TGDD</v>
      </c>
      <c r="D4" s="158"/>
      <c r="E4" s="182" t="s">
        <v>4</v>
      </c>
      <c r="F4" s="158"/>
      <c r="G4" s="87" t="s">
        <v>288</v>
      </c>
      <c r="H4" s="88"/>
      <c r="I4" s="7"/>
      <c r="J4" s="7"/>
      <c r="K4" s="7"/>
      <c r="L4" s="7"/>
      <c r="M4" s="7"/>
      <c r="N4" s="7"/>
      <c r="O4" s="7"/>
      <c r="P4" s="7"/>
      <c r="Q4" s="7"/>
      <c r="R4" s="7"/>
      <c r="S4" s="7"/>
      <c r="T4" s="7"/>
      <c r="U4" s="7"/>
      <c r="V4" s="7"/>
      <c r="W4" s="7"/>
      <c r="X4" s="7"/>
      <c r="Y4" s="7"/>
      <c r="Z4" s="7"/>
    </row>
    <row r="5" spans="1:26" ht="12" customHeight="1" x14ac:dyDescent="0.3">
      <c r="A5" s="7"/>
      <c r="B5" s="89" t="s">
        <v>5</v>
      </c>
      <c r="C5" s="170" t="str">
        <f>C4&amp;"_"&amp;"Test Report"&amp;"_"&amp;"v0.1"</f>
        <v>TGDD_Test Report_v0.1</v>
      </c>
      <c r="D5" s="158"/>
      <c r="E5" s="182" t="s">
        <v>6</v>
      </c>
      <c r="F5" s="158"/>
      <c r="G5" s="90">
        <v>45674</v>
      </c>
      <c r="H5" s="91" t="s">
        <v>51</v>
      </c>
      <c r="I5" s="7"/>
      <c r="J5" s="7"/>
      <c r="K5" s="7"/>
      <c r="L5" s="7"/>
      <c r="M5" s="7"/>
      <c r="N5" s="7"/>
      <c r="O5" s="7"/>
      <c r="P5" s="7"/>
      <c r="Q5" s="7"/>
      <c r="R5" s="7"/>
      <c r="S5" s="7"/>
      <c r="T5" s="7"/>
      <c r="U5" s="7"/>
      <c r="V5" s="7"/>
      <c r="W5" s="7"/>
      <c r="X5" s="7"/>
      <c r="Y5" s="7"/>
      <c r="Z5" s="7"/>
    </row>
    <row r="6" spans="1:26" ht="21.75" customHeight="1" x14ac:dyDescent="0.3">
      <c r="A6" s="84"/>
      <c r="B6" s="89" t="s">
        <v>52</v>
      </c>
      <c r="C6" s="172" t="s">
        <v>287</v>
      </c>
      <c r="D6" s="157"/>
      <c r="E6" s="157"/>
      <c r="F6" s="157"/>
      <c r="G6" s="157"/>
      <c r="H6" s="158"/>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20</v>
      </c>
      <c r="C10" s="95" t="s">
        <v>53</v>
      </c>
      <c r="D10" s="96" t="s">
        <v>54</v>
      </c>
      <c r="E10" s="95" t="s">
        <v>55</v>
      </c>
      <c r="F10" s="95" t="s">
        <v>40</v>
      </c>
      <c r="G10" s="97" t="s">
        <v>39</v>
      </c>
      <c r="H10" s="98" t="s">
        <v>41</v>
      </c>
      <c r="I10" s="98" t="s">
        <v>56</v>
      </c>
      <c r="J10" s="7"/>
      <c r="K10" s="7"/>
      <c r="L10" s="7"/>
      <c r="M10" s="7"/>
      <c r="N10" s="7"/>
      <c r="O10" s="7"/>
      <c r="P10" s="7"/>
      <c r="Q10" s="7"/>
      <c r="R10" s="7"/>
      <c r="S10" s="7"/>
      <c r="T10" s="7"/>
      <c r="U10" s="7"/>
      <c r="V10" s="7"/>
      <c r="W10" s="7"/>
      <c r="X10" s="7"/>
      <c r="Y10" s="7"/>
      <c r="Z10" s="7"/>
    </row>
    <row r="11" spans="1:26" ht="12.75" customHeight="1" x14ac:dyDescent="0.3">
      <c r="A11" s="93"/>
      <c r="B11" s="99">
        <v>1</v>
      </c>
      <c r="C11" s="100" t="str">
        <f>CompareProduct!B2</f>
        <v>COMP_PRDT</v>
      </c>
      <c r="D11" s="101">
        <f>CompareProduct!A6</f>
        <v>37</v>
      </c>
      <c r="E11" s="101">
        <f>CompareProduct!B6</f>
        <v>8</v>
      </c>
      <c r="F11" s="101">
        <f>CompareProduct!C6</f>
        <v>0</v>
      </c>
      <c r="G11" s="102">
        <f>CompareProduct!D6</f>
        <v>0</v>
      </c>
      <c r="H11" s="102">
        <f>CompareProduct!E6</f>
        <v>0</v>
      </c>
      <c r="I11" s="103">
        <f>CompareProduct!F6</f>
        <v>45</v>
      </c>
      <c r="J11" s="7"/>
      <c r="K11" s="7"/>
      <c r="L11" s="7"/>
      <c r="M11" s="7"/>
      <c r="N11" s="7"/>
      <c r="O11" s="7"/>
      <c r="P11" s="7"/>
      <c r="Q11" s="7"/>
      <c r="R11" s="7"/>
      <c r="S11" s="7"/>
      <c r="T11" s="7"/>
      <c r="U11" s="7"/>
      <c r="V11" s="7"/>
      <c r="W11" s="7"/>
      <c r="X11" s="7"/>
      <c r="Y11" s="7"/>
      <c r="Z11" s="7"/>
    </row>
    <row r="12" spans="1:26" ht="12.75" customHeight="1" x14ac:dyDescent="0.3">
      <c r="A12" s="93"/>
      <c r="B12" s="99"/>
      <c r="C12" s="100"/>
      <c r="D12" s="101"/>
      <c r="E12" s="101"/>
      <c r="F12" s="101"/>
      <c r="G12" s="102"/>
      <c r="H12" s="102"/>
      <c r="I12" s="103"/>
      <c r="J12" s="7"/>
      <c r="K12" s="7"/>
      <c r="L12" s="7"/>
      <c r="M12" s="7"/>
      <c r="N12" s="7"/>
      <c r="O12" s="7"/>
      <c r="P12" s="7"/>
      <c r="Q12" s="7"/>
      <c r="R12" s="7"/>
      <c r="S12" s="7"/>
      <c r="T12" s="7"/>
      <c r="U12" s="7"/>
      <c r="V12" s="7"/>
      <c r="W12" s="7"/>
      <c r="X12" s="7"/>
      <c r="Y12" s="7"/>
      <c r="Z12" s="7"/>
    </row>
    <row r="13" spans="1:26" ht="12.75" customHeight="1" x14ac:dyDescent="0.3">
      <c r="A13" s="93"/>
      <c r="B13" s="99"/>
      <c r="C13" s="100"/>
      <c r="D13" s="101"/>
      <c r="E13" s="101"/>
      <c r="F13" s="101"/>
      <c r="G13" s="101"/>
      <c r="H13" s="101"/>
      <c r="I13" s="103"/>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57</v>
      </c>
      <c r="D15" s="106">
        <f t="shared" ref="D15:I15" si="0">SUM(D9:D14)</f>
        <v>37</v>
      </c>
      <c r="E15" s="106">
        <f t="shared" si="0"/>
        <v>8</v>
      </c>
      <c r="F15" s="106">
        <f t="shared" si="0"/>
        <v>0</v>
      </c>
      <c r="G15" s="106">
        <f t="shared" si="0"/>
        <v>0</v>
      </c>
      <c r="H15" s="107">
        <f t="shared" si="0"/>
        <v>0</v>
      </c>
      <c r="I15" s="107">
        <f t="shared" si="0"/>
        <v>45</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58</v>
      </c>
      <c r="D17" s="7"/>
      <c r="E17" s="111">
        <f>(D15+E15)*100/(I15-H15-G15)</f>
        <v>100</v>
      </c>
      <c r="F17" s="7" t="s">
        <v>59</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60</v>
      </c>
      <c r="D18" s="7"/>
      <c r="E18" s="111">
        <f>D15*100/(D15+E15)</f>
        <v>82.222222222222229</v>
      </c>
      <c r="F18" s="7" t="s">
        <v>59</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 List</vt:lpstr>
      <vt:lpstr>TestDesign</vt:lpstr>
      <vt:lpstr>CompareProduct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2025-01-19T11:51:14Z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